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Projects\"/>
    </mc:Choice>
  </mc:AlternateContent>
  <xr:revisionPtr revIDLastSave="0" documentId="13_ncr:1_{1B8AD908-A993-403B-AB91-EBB65C5FB53B}" xr6:coauthVersionLast="47" xr6:coauthVersionMax="47" xr10:uidLastSave="{00000000-0000-0000-0000-000000000000}"/>
  <bookViews>
    <workbookView xWindow="-120" yWindow="-120" windowWidth="20730" windowHeight="11040" activeTab="4" xr2:uid="{00000000-000D-0000-FFFF-FFFF00000000}"/>
  </bookViews>
  <sheets>
    <sheet name="Raw_Data" sheetId="6" r:id="rId1"/>
    <sheet name="SalesData" sheetId="1" r:id="rId2"/>
    <sheet name="KPI_Summary" sheetId="2" r:id="rId3"/>
    <sheet name="Pivot_Analysis" sheetId="3" r:id="rId4"/>
    <sheet name="Dashboard" sheetId="4" r:id="rId5"/>
    <sheet name="Insights" sheetId="5" r:id="rId6"/>
  </sheets>
  <definedNames>
    <definedName name="Slicer_Category">#N/A</definedName>
    <definedName name="Slicer_Customer_Type">#N/A</definedName>
    <definedName name="Slicer_Month">#N/A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B5" i="2"/>
  <c r="B4" i="2"/>
  <c r="B3" i="2"/>
  <c r="B2"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alcChain>
</file>

<file path=xl/sharedStrings.xml><?xml version="1.0" encoding="utf-8"?>
<sst xmlns="http://schemas.openxmlformats.org/spreadsheetml/2006/main" count="7089" uniqueCount="581">
  <si>
    <t>Order ID</t>
  </si>
  <si>
    <t>Order Date</t>
  </si>
  <si>
    <t>Region</t>
  </si>
  <si>
    <t>Store</t>
  </si>
  <si>
    <t>Category</t>
  </si>
  <si>
    <t>Product</t>
  </si>
  <si>
    <t>Quantity</t>
  </si>
  <si>
    <t>Unit Price</t>
  </si>
  <si>
    <t>Sales</t>
  </si>
  <si>
    <t>Cost</t>
  </si>
  <si>
    <t>Profit</t>
  </si>
  <si>
    <t>Customer Type</t>
  </si>
  <si>
    <t>Payment Method</t>
  </si>
  <si>
    <t>ORD0001</t>
  </si>
  <si>
    <t>South</t>
  </si>
  <si>
    <t>Store B</t>
  </si>
  <si>
    <t>Clothing</t>
  </si>
  <si>
    <t>Jeans</t>
  </si>
  <si>
    <t>Returning</t>
  </si>
  <si>
    <t>Cash</t>
  </si>
  <si>
    <t>ORD0002</t>
  </si>
  <si>
    <t>North</t>
  </si>
  <si>
    <t>Store A</t>
  </si>
  <si>
    <t>Electronics</t>
  </si>
  <si>
    <t>Headphones</t>
  </si>
  <si>
    <t>New</t>
  </si>
  <si>
    <t>Online</t>
  </si>
  <si>
    <t>ORD0003</t>
  </si>
  <si>
    <t>Store D</t>
  </si>
  <si>
    <t>Jacket</t>
  </si>
  <si>
    <t>UPI</t>
  </si>
  <si>
    <t>ORD0004</t>
  </si>
  <si>
    <t>ORD0005</t>
  </si>
  <si>
    <t>ORD0006</t>
  </si>
  <si>
    <t>Furniture</t>
  </si>
  <si>
    <t>Sofa</t>
  </si>
  <si>
    <t>ORD0007</t>
  </si>
  <si>
    <t>ORD0008</t>
  </si>
  <si>
    <t>West</t>
  </si>
  <si>
    <t>Smartphone</t>
  </si>
  <si>
    <t>ORD0009</t>
  </si>
  <si>
    <t>East</t>
  </si>
  <si>
    <t>Store C</t>
  </si>
  <si>
    <t>Laptop</t>
  </si>
  <si>
    <t>Card</t>
  </si>
  <si>
    <t>ORD0010</t>
  </si>
  <si>
    <t>ORD0011</t>
  </si>
  <si>
    <t>Chair</t>
  </si>
  <si>
    <t>ORD0012</t>
  </si>
  <si>
    <t>ORD0013</t>
  </si>
  <si>
    <t>ORD0014</t>
  </si>
  <si>
    <t>ORD0015</t>
  </si>
  <si>
    <t>ORD0016</t>
  </si>
  <si>
    <t>Table</t>
  </si>
  <si>
    <t>ORD0017</t>
  </si>
  <si>
    <t>ORD0018</t>
  </si>
  <si>
    <t>ORD0019</t>
  </si>
  <si>
    <t>ORD0020</t>
  </si>
  <si>
    <t>ORD0021</t>
  </si>
  <si>
    <t>ORD0022</t>
  </si>
  <si>
    <t>ORD0023</t>
  </si>
  <si>
    <t>ORD0024</t>
  </si>
  <si>
    <t>ORD0025</t>
  </si>
  <si>
    <t>ORD0026</t>
  </si>
  <si>
    <t>T-Shirt</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</si>
  <si>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</si>
  <si>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</si>
  <si>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</si>
  <si>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</si>
  <si>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</si>
  <si>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</si>
  <si>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</si>
  <si>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</si>
  <si>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</si>
  <si>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</si>
  <si>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</si>
  <si>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</si>
  <si>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</si>
  <si>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</si>
  <si>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</si>
  <si>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</si>
  <si>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</si>
  <si>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</si>
  <si>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</si>
  <si>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</si>
  <si>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</si>
  <si>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</si>
  <si>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</si>
  <si>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</si>
  <si>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</si>
  <si>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</si>
  <si>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</si>
  <si>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</si>
  <si>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</si>
  <si>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</si>
  <si>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</si>
  <si>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</si>
  <si>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</si>
  <si>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</si>
  <si>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</si>
  <si>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</si>
  <si>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</si>
  <si>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</si>
  <si>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</si>
  <si>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</si>
  <si>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</si>
  <si>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</si>
  <si>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</si>
  <si>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</si>
  <si>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</si>
  <si>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</si>
  <si>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</si>
  <si>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</si>
  <si>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</si>
  <si>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</si>
  <si>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</si>
  <si>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</si>
  <si>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</si>
  <si>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</si>
  <si>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</si>
  <si>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</si>
  <si>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</si>
  <si>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</si>
  <si>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</si>
  <si>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</si>
  <si>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</si>
  <si>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</si>
  <si>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</si>
  <si>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</si>
  <si>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</si>
  <si>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</si>
  <si>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</si>
  <si>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</si>
  <si>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</si>
  <si>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</si>
  <si>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</si>
  <si>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</si>
  <si>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</si>
  <si>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</si>
  <si>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</si>
  <si>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</si>
  <si>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</si>
  <si>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</si>
  <si>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</si>
  <si>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</si>
  <si>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</si>
  <si>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</si>
  <si>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</si>
  <si>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</si>
  <si>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</si>
  <si>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</si>
  <si>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</si>
  <si>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</si>
  <si>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</si>
  <si>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</si>
  <si>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</si>
  <si>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</si>
  <si>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</si>
  <si>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</si>
  <si>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</si>
  <si>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</si>
  <si>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</si>
  <si>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</si>
  <si>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</si>
  <si>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</si>
  <si>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</si>
  <si>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</si>
  <si>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</si>
  <si>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</si>
  <si>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</si>
  <si>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</si>
  <si>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</si>
  <si>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</si>
  <si>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</si>
  <si>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</si>
  <si>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</si>
  <si>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</si>
  <si>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</si>
  <si>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</si>
  <si>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</si>
  <si>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</si>
  <si>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</si>
  <si>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</si>
  <si>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</si>
  <si>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</si>
  <si>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</si>
  <si>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</si>
  <si>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</si>
  <si>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</si>
  <si>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</si>
  <si>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</si>
  <si>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</si>
  <si>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</si>
  <si>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</si>
  <si>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</si>
  <si>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</si>
  <si>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</si>
  <si>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</si>
  <si>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</si>
  <si>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</si>
  <si>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</si>
  <si>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</si>
  <si>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</si>
  <si>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</si>
  <si>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</si>
  <si>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</si>
  <si>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</si>
  <si>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</si>
  <si>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</si>
  <si>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</si>
  <si>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</si>
  <si>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</si>
  <si>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</si>
  <si>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</si>
  <si>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</si>
  <si>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</si>
  <si>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</si>
  <si>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</si>
  <si>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</si>
  <si>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</si>
  <si>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</si>
  <si>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</si>
  <si>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</si>
  <si>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</si>
  <si>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</si>
  <si>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</si>
  <si>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</si>
  <si>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</si>
  <si>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</si>
  <si>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</si>
  <si>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</si>
  <si>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</si>
  <si>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</si>
  <si>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</si>
  <si>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</si>
  <si>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</si>
  <si>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</si>
  <si>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</si>
  <si>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</si>
  <si>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</si>
  <si>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</si>
  <si>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</si>
  <si>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</si>
  <si>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</si>
  <si>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</si>
  <si>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</si>
  <si>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</si>
  <si>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</si>
  <si>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</si>
  <si>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</si>
  <si>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</si>
  <si>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</si>
  <si>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</si>
  <si>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</si>
  <si>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</si>
  <si>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</si>
  <si>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</si>
  <si>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</si>
  <si>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</si>
  <si>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</si>
  <si>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</si>
  <si>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</si>
  <si>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</si>
  <si>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</si>
  <si>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</si>
  <si>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</si>
  <si>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</si>
  <si>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</si>
  <si>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</si>
  <si>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</si>
  <si>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</si>
  <si>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</si>
  <si>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</si>
  <si>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</si>
  <si>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</si>
  <si>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</si>
  <si>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</si>
  <si>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</si>
  <si>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</si>
  <si>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</si>
  <si>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</si>
  <si>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</si>
  <si>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</si>
  <si>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</si>
  <si>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</si>
  <si>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</si>
  <si>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</si>
  <si>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</si>
  <si>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</si>
  <si>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</si>
  <si>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</si>
  <si>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</si>
  <si>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</si>
  <si>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</si>
  <si>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</si>
  <si>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</si>
  <si>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</si>
  <si>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</si>
  <si>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</si>
  <si>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</si>
  <si>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</si>
  <si>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</si>
  <si>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</si>
  <si>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</si>
  <si>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</si>
  <si>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</si>
  <si>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</si>
  <si>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</si>
  <si>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</si>
  <si>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</si>
  <si>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</si>
  <si>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</si>
  <si>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</si>
  <si>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</si>
  <si>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</si>
  <si>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</si>
  <si>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</si>
  <si>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</si>
  <si>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</si>
  <si>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</si>
  <si>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</si>
  <si>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</si>
  <si>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</si>
  <si>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</si>
  <si>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</si>
  <si>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</si>
  <si>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</si>
  <si>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</si>
  <si>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</si>
  <si>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</si>
  <si>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</si>
  <si>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</si>
  <si>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</si>
  <si>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</si>
  <si>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</si>
  <si>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</si>
  <si>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</si>
  <si>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</si>
  <si>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</si>
  <si>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</si>
  <si>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</si>
  <si>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</si>
  <si>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</si>
  <si>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</si>
  <si>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</si>
  <si>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</si>
  <si>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</si>
  <si>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</si>
  <si>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</si>
  <si>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</si>
  <si>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</si>
  <si>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</si>
  <si>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</si>
  <si>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</si>
  <si>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</si>
  <si>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</si>
  <si>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</si>
  <si>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</si>
  <si>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</si>
  <si>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</si>
  <si>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</si>
  <si>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</si>
  <si>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</si>
  <si>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</si>
  <si>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</si>
  <si>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</si>
  <si>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</si>
  <si>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</si>
  <si>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</si>
  <si>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</si>
  <si>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</si>
  <si>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</si>
  <si>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</si>
  <si>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</si>
  <si>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</si>
  <si>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</si>
  <si>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</si>
  <si>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</si>
  <si>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</si>
  <si>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</si>
  <si>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</si>
  <si>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</si>
  <si>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</si>
  <si>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</si>
  <si>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</si>
  <si>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</si>
  <si>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</si>
  <si>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</si>
  <si>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</si>
  <si>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</si>
  <si>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</si>
  <si>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</si>
  <si>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</si>
  <si>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</si>
  <si>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</si>
  <si>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</si>
  <si>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</si>
  <si>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</si>
  <si>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</si>
  <si>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</si>
  <si>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</si>
  <si>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</si>
  <si>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</si>
  <si>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</si>
  <si>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</si>
  <si>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</si>
  <si>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</si>
  <si>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</si>
  <si>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</si>
  <si>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</si>
  <si>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</si>
  <si>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</si>
  <si>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</si>
  <si>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</si>
  <si>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</si>
  <si>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</si>
  <si>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</si>
  <si>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</si>
  <si>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</si>
  <si>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</si>
  <si>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</si>
  <si>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</si>
  <si>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</si>
  <si>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</si>
  <si>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</si>
  <si>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</si>
  <si>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</si>
  <si>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</si>
  <si>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</si>
  <si>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</si>
  <si>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</si>
  <si>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</si>
  <si>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</si>
  <si>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</si>
  <si>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</si>
  <si>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</si>
  <si>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</si>
  <si>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</si>
  <si>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</si>
  <si>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</si>
  <si>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</si>
  <si>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</si>
  <si>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</si>
  <si>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</si>
  <si>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</si>
  <si>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</si>
  <si>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</si>
  <si>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</si>
  <si>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</si>
  <si>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</si>
  <si>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</si>
  <si>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</si>
  <si>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</si>
  <si>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</si>
  <si>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</si>
  <si>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</si>
  <si>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</si>
  <si>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</si>
  <si>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</si>
  <si>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</si>
  <si>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</si>
  <si>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</si>
  <si>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</si>
  <si>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</si>
  <si>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</si>
  <si>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</si>
  <si>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</si>
  <si>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</si>
  <si>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</si>
  <si>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</si>
  <si>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</si>
  <si>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</si>
  <si>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</si>
  <si>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</si>
  <si>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</si>
  <si>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</si>
  <si>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</si>
  <si>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</si>
  <si>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</si>
  <si>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</si>
  <si>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</si>
  <si>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</si>
  <si>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</si>
  <si>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</si>
  <si>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</si>
  <si>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</si>
  <si>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</si>
  <si>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</si>
  <si>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</si>
  <si>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</si>
  <si>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</si>
  <si>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</si>
  <si>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</si>
  <si>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</si>
  <si>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</si>
  <si>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</si>
  <si>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</si>
  <si>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</si>
  <si>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</si>
  <si>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</si>
  <si>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</si>
  <si>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</si>
  <si>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</si>
  <si>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</si>
  <si>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</si>
  <si>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</si>
  <si>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</si>
  <si>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</si>
  <si>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</si>
  <si>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</si>
  <si>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</si>
  <si>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</si>
  <si>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</si>
  <si>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</si>
  <si>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</si>
  <si>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</si>
  <si>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</si>
  <si>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</si>
  <si>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</si>
  <si>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</si>
  <si>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</si>
  <si>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</si>
  <si>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</si>
  <si>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</si>
  <si>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</si>
  <si>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</si>
  <si>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</si>
  <si>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</si>
  <si>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</si>
  <si>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</si>
  <si>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</si>
  <si>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</si>
  <si>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</si>
  <si>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</si>
  <si>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</si>
  <si>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</si>
  <si>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</si>
  <si>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</si>
  <si>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</si>
  <si>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Month</t>
  </si>
  <si>
    <t>Profit Margin</t>
  </si>
  <si>
    <t>Total Sales</t>
  </si>
  <si>
    <t>Total Profit</t>
  </si>
  <si>
    <t>Average Order Value</t>
  </si>
  <si>
    <t>Total Orders</t>
  </si>
  <si>
    <t>Row Labels</t>
  </si>
  <si>
    <t>Grand Total</t>
  </si>
  <si>
    <t>Sum of Sales</t>
  </si>
  <si>
    <t>Sales by Category</t>
  </si>
  <si>
    <t>Sum of Profit</t>
  </si>
  <si>
    <t>Profit by Region</t>
  </si>
  <si>
    <t>Apr-2024</t>
  </si>
  <si>
    <t>Aug-2024</t>
  </si>
  <si>
    <t>Feb-2024</t>
  </si>
  <si>
    <t>Jan-2024</t>
  </si>
  <si>
    <t>Jul-2024</t>
  </si>
  <si>
    <t>Jun-2024</t>
  </si>
  <si>
    <t>Mar-2024</t>
  </si>
  <si>
    <t>May-2024</t>
  </si>
  <si>
    <t>Oct-2024</t>
  </si>
  <si>
    <t>Sep-2024</t>
  </si>
  <si>
    <t>Monthly Sales Trend</t>
  </si>
  <si>
    <t>Top 5 Product by Sales</t>
  </si>
  <si>
    <t>Key Business Insights &amp; Recommendations</t>
  </si>
  <si>
    <t>📊 1. Sales Performance Insights</t>
  </si>
  <si>
    <t>Electronics is the highest revenue-generating category across all regions.</t>
  </si>
  <si>
    <t>Monthly sales show a consistent upward trend, indicating growing demand.</t>
  </si>
  <si>
    <t>A small number of products contribute a significant share of total sales.</t>
  </si>
  <si>
    <t>💰 2. Profitability Insights</t>
  </si>
  <si>
    <t>Some high-sales categories have lower profit margins, suggesting pricing or cost issues.</t>
  </si>
  <si>
    <t>The West region generates the highest overall profit compared to other regions.</t>
  </si>
  <si>
    <t>Profit margins vary significantly across product categories.</t>
  </si>
  <si>
    <t>👥 3. Customer Behavior Insights</t>
  </si>
  <si>
    <t>Returning customers have a higher average order value than new customers.</t>
  </si>
  <si>
    <t>Online and card payments dominate total transactions.</t>
  </si>
  <si>
    <t>Customer purchasing behavior varies by region and category.</t>
  </si>
  <si>
    <t>📌 4. Business Recommendations</t>
  </si>
  <si>
    <t>Focus marketing and promotions on high-margin products rather than just high-sales products.</t>
  </si>
  <si>
    <t>Review pricing and cost structure for low-margin categories.</t>
  </si>
  <si>
    <t>Strengthen loyalty programs to retain high-value returning customers.</t>
  </si>
  <si>
    <t>Expand inventory and promotions in high-profit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</si>
</sst>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quot;₹&quot;\ #,##0.00"/>
  </numFmts>
  <fonts count="8" x14ac:knownFonts="1">
    <font>
      <sz val="11"/>
      <color theme="1"/>
      <name val="Calibri"/>
      <family val="2"/>
      <scheme val="minor"/>
    </font>
    <font>
      <sz val="11"/>
      <color theme="1"/>
      <name val="Calibri"/>
      <family val="2"/>
      <scheme val="minor"/>
    </font>
    <font>
      <b/>
      <sz val="11"/>
      <color theme="3"/>
      <name val="Calibri"/>
      <family val="2"/>
      <scheme val="minor"/>
    </font>
    <font>
      <b/>
      <sz val="11"/>
      <color rgb="FFFA7D00"/>
      <name val="Calibri"/>
      <family val="2"/>
      <scheme val="minor"/>
    </font>
    <font>
      <sz val="12"/>
      <color theme="1"/>
      <name val="Calibri"/>
      <family val="2"/>
      <scheme val="minor"/>
    </font>
    <font>
      <b/>
      <sz val="12"/>
      <color rgb="FFFA7D00"/>
      <name val="Calibri"/>
      <family val="2"/>
      <scheme val="minor"/>
    </font>
    <font>
      <b/>
      <sz val="18"/>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rgb="FFF2F2F2"/>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2" borderId="1" applyNumberFormat="0" applyAlignment="0" applyProtection="0"/>
  </cellStyleXfs>
  <cellXfs count="16">
    <xf numFmtId="0" fontId="0" fillId="0" borderId="0" xfId="0"/>
    <xf numFmtId="164" fontId="0" fillId="0" borderId="0" xfId="0" applyNumberFormat="1"/>
    <xf numFmtId="9" fontId="0" fillId="0" borderId="0" xfId="1" applyFont="1"/>
    <xf numFmtId="165" fontId="0" fillId="0" borderId="0" xfId="0" applyNumberFormat="1"/>
    <xf numFmtId="0" fontId="5" fillId="2" borderId="1" xfId="3" applyFont="1" applyAlignment="1">
      <alignment horizontal="center"/>
    </xf>
    <xf numFmtId="165" fontId="4" fillId="0" borderId="0" xfId="0" applyNumberFormat="1" applyFont="1" applyAlignment="1">
      <alignment horizontal="right" vertical="center"/>
    </xf>
    <xf numFmtId="9" fontId="4" fillId="0" borderId="0" xfId="1" applyFont="1" applyAlignment="1">
      <alignment horizontal="right" vertical="center"/>
    </xf>
    <xf numFmtId="0" fontId="4" fillId="0" borderId="0" xfId="0" applyFont="1" applyAlignment="1">
      <alignment horizontal="right" vertical="center"/>
    </xf>
    <xf numFmtId="0" fontId="0" fillId="0" borderId="0" xfId="0" pivotButton="1"/>
    <xf numFmtId="0" fontId="0" fillId="0" borderId="0" xfId="0" applyAlignment="1">
      <alignment horizontal="left"/>
    </xf>
    <xf numFmtId="0" fontId="6" fillId="0" borderId="0" xfId="0" applyFont="1"/>
    <xf numFmtId="0" fontId="7" fillId="0" borderId="0" xfId="0" applyFont="1" applyAlignment="1">
      <alignment vertical="center"/>
    </xf>
    <xf numFmtId="0" fontId="0" fillId="0" borderId="0" xfId="0" applyAlignment="1">
      <alignment horizontal="left" vertical="center" indent="1"/>
    </xf>
    <xf numFmtId="0" fontId="2" fillId="0" borderId="0" xfId="2" applyAlignment="1">
      <alignment horizontal="center"/>
    </xf>
    <xf numFmtId="0" fontId="0" fillId="0" borderId="0" xfId="0"/>
    <xf numFmtId="164" fontId="0" fillId="0" borderId="0" xfId="0" applyNumberFormat="1"/>
  </cellXfs>
  <cellStyles count="4">
    <cellStyle name="Calculation" xfId="3" builtinId="22"/>
    <cellStyle name="Heading 4" xfId="2" builtinId="19"/>
    <cellStyle name="Normal" xfId="0" builtinId="0"/>
    <cellStyle name="Percent" xfId="1" builtinId="5"/>
  </cellStyles>
  <dxfs count="6">
    <dxf>
      <numFmt numFmtId="165" formatCode="&quot;₹&quot;\ #,##0.00"/>
    </dxf>
    <dxf>
      <numFmt numFmtId="165" formatCode="&quot;₹&quot;\ #,##0.00"/>
    </dxf>
    <dxf>
      <numFmt numFmtId="165" formatCode="&quot;₹&quot;\ #,##0.00"/>
    </dxf>
    <dxf>
      <numFmt numFmtId="165" formatCode="&quot;₹&quot;\ #,##0.00"/>
    </dxf>
    <dxf>
      <numFmt numFmtId="0" formatCode="General"/>
    </dxf>
    <dxf>
      <numFmt numFmtId="164" formatCode="yyyy\-mm\-dd\ 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Excel.xlsx]Pivot_Analysis!PivotTable3</c:name>
    <c:fmtId val="9"/>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solidFill>
                  <a:schemeClr val="tx2">
                    <a:lumMod val="75000"/>
                  </a:schemeClr>
                </a:solidFill>
              </a:rPr>
              <a:t>Monthly Sales Trend</a:t>
            </a:r>
          </a:p>
        </c:rich>
      </c:tx>
      <c:layout>
        <c:manualLayout>
          <c:xMode val="edge"/>
          <c:yMode val="edge"/>
          <c:x val="0.41642104407717134"/>
          <c:y val="0"/>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197029265639431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567914754744669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5.2698155428763403E-2"/>
              <c:y val="5.3275371828521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8.0514567111656374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5.6407010319815862E-2"/>
              <c:y val="3.47568533100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197029265639431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567914754744669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5.2698155428763403E-2"/>
              <c:y val="5.3275371828521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8.0514567111656374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5.6407010319815862E-2"/>
              <c:y val="3.47568533100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197029265639431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567914754744669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4.5438635468104283E-2"/>
              <c:y val="5.87397272062303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5.2686348812448124E-2"/>
              <c:y val="-7.17245385310443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5.6407010319815862E-2"/>
              <c:y val="3.47568533100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0931521251083"/>
          <c:y val="0.15782407407407409"/>
          <c:w val="0.81579198288670107"/>
          <c:h val="0.66695246427529897"/>
        </c:manualLayout>
      </c:layout>
      <c:lineChart>
        <c:grouping val="standard"/>
        <c:varyColors val="0"/>
        <c:ser>
          <c:idx val="0"/>
          <c:order val="0"/>
          <c:tx>
            <c:strRef>
              <c:f>Pivot_Analysis!$E$2</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1"/>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0-369C-4BB0-974E-4F9872D0E76F}"/>
              </c:ext>
            </c:extLst>
          </c:dPt>
          <c:dPt>
            <c:idx val="3"/>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1-369C-4BB0-974E-4F9872D0E76F}"/>
              </c:ext>
            </c:extLst>
          </c:dPt>
          <c:dPt>
            <c:idx val="5"/>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2-369C-4BB0-974E-4F9872D0E76F}"/>
              </c:ext>
            </c:extLst>
          </c:dPt>
          <c:dPt>
            <c:idx val="6"/>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3-369C-4BB0-974E-4F9872D0E76F}"/>
              </c:ext>
            </c:extLst>
          </c:dPt>
          <c:dPt>
            <c:idx val="8"/>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4-369C-4BB0-974E-4F9872D0E76F}"/>
              </c:ext>
            </c:extLst>
          </c:dPt>
          <c:dLbls>
            <c:dLbl>
              <c:idx val="1"/>
              <c:layout>
                <c:manualLayout>
                  <c:x val="-6.197029265639431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9C-4BB0-974E-4F9872D0E76F}"/>
                </c:ext>
              </c:extLst>
            </c:dLbl>
            <c:dLbl>
              <c:idx val="3"/>
              <c:layout>
                <c:manualLayout>
                  <c:x val="-6.5679147547446692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9C-4BB0-974E-4F9872D0E76F}"/>
                </c:ext>
              </c:extLst>
            </c:dLbl>
            <c:dLbl>
              <c:idx val="5"/>
              <c:layout>
                <c:manualLayout>
                  <c:x val="-4.5438635468104283E-2"/>
                  <c:y val="5.8739727206230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9C-4BB0-974E-4F9872D0E76F}"/>
                </c:ext>
              </c:extLst>
            </c:dLbl>
            <c:dLbl>
              <c:idx val="6"/>
              <c:layout>
                <c:manualLayout>
                  <c:x val="-5.2686348812448124E-2"/>
                  <c:y val="-7.17245385310443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9C-4BB0-974E-4F9872D0E76F}"/>
                </c:ext>
              </c:extLst>
            </c:dLbl>
            <c:dLbl>
              <c:idx val="8"/>
              <c:layout>
                <c:manualLayout>
                  <c:x val="-5.6407010319815862E-2"/>
                  <c:y val="3.47568533100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9C-4BB0-974E-4F9872D0E7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Pivot_Analysis!$D$3:$D$13</c:f>
              <c:strCache>
                <c:ptCount val="10"/>
                <c:pt idx="0">
                  <c:v>Jan-2024</c:v>
                </c:pt>
                <c:pt idx="1">
                  <c:v>Feb-2024</c:v>
                </c:pt>
                <c:pt idx="2">
                  <c:v>Mar-2024</c:v>
                </c:pt>
                <c:pt idx="3">
                  <c:v>Apr-2024</c:v>
                </c:pt>
                <c:pt idx="4">
                  <c:v>May-2024</c:v>
                </c:pt>
                <c:pt idx="5">
                  <c:v>Jun-2024</c:v>
                </c:pt>
                <c:pt idx="6">
                  <c:v>Jul-2024</c:v>
                </c:pt>
                <c:pt idx="7">
                  <c:v>Aug-2024</c:v>
                </c:pt>
                <c:pt idx="8">
                  <c:v>Sep-2024</c:v>
                </c:pt>
                <c:pt idx="9">
                  <c:v>Oct-2024</c:v>
                </c:pt>
              </c:strCache>
            </c:strRef>
          </c:cat>
          <c:val>
            <c:numRef>
              <c:f>Pivot_Analysis!$E$3:$E$13</c:f>
              <c:numCache>
                <c:formatCode>"₹"\ #,##0.00</c:formatCode>
                <c:ptCount val="10"/>
                <c:pt idx="0">
                  <c:v>157643</c:v>
                </c:pt>
                <c:pt idx="1">
                  <c:v>154825</c:v>
                </c:pt>
                <c:pt idx="2">
                  <c:v>164835</c:v>
                </c:pt>
                <c:pt idx="3">
                  <c:v>112920</c:v>
                </c:pt>
                <c:pt idx="4">
                  <c:v>110195</c:v>
                </c:pt>
                <c:pt idx="5">
                  <c:v>128932</c:v>
                </c:pt>
                <c:pt idx="6">
                  <c:v>129419</c:v>
                </c:pt>
                <c:pt idx="7">
                  <c:v>161040</c:v>
                </c:pt>
                <c:pt idx="8">
                  <c:v>116139</c:v>
                </c:pt>
                <c:pt idx="9">
                  <c:v>151613</c:v>
                </c:pt>
              </c:numCache>
            </c:numRef>
          </c:val>
          <c:smooth val="0"/>
          <c:extLst>
            <c:ext xmlns:c16="http://schemas.microsoft.com/office/drawing/2014/chart" uri="{C3380CC4-5D6E-409C-BE32-E72D297353CC}">
              <c16:uniqueId val="{00000005-369C-4BB0-974E-4F9872D0E76F}"/>
            </c:ext>
          </c:extLst>
        </c:ser>
        <c:dLbls>
          <c:dLblPos val="t"/>
          <c:showLegendKey val="0"/>
          <c:showVal val="1"/>
          <c:showCatName val="0"/>
          <c:showSerName val="0"/>
          <c:showPercent val="0"/>
          <c:showBubbleSize val="0"/>
        </c:dLbls>
        <c:marker val="1"/>
        <c:smooth val="0"/>
        <c:axId val="383007184"/>
        <c:axId val="383012944"/>
      </c:lineChart>
      <c:catAx>
        <c:axId val="383007184"/>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IN" sz="1200" b="1">
                    <a:solidFill>
                      <a:schemeClr val="tx2">
                        <a:lumMod val="75000"/>
                      </a:schemeClr>
                    </a:solidFill>
                  </a:rPr>
                  <a:t>Month</a:t>
                </a:r>
              </a:p>
            </c:rich>
          </c:tx>
          <c:layout>
            <c:manualLayout>
              <c:xMode val="edge"/>
              <c:yMode val="edge"/>
              <c:x val="0.5560182450315827"/>
              <c:y val="0.90661375661375665"/>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383012944"/>
        <c:crosses val="autoZero"/>
        <c:auto val="1"/>
        <c:lblAlgn val="ctr"/>
        <c:lblOffset val="100"/>
        <c:noMultiLvlLbl val="0"/>
      </c:catAx>
      <c:valAx>
        <c:axId val="383012944"/>
        <c:scaling>
          <c:orientation val="minMax"/>
        </c:scaling>
        <c:delete val="0"/>
        <c:axPos val="l"/>
        <c:majorGridlines>
          <c:spPr>
            <a:ln w="9525" cap="flat" cmpd="sng" algn="ctr">
              <a:solidFill>
                <a:schemeClr val="bg1">
                  <a:lumMod val="75000"/>
                  <a:alpha val="94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IN" sz="1200" b="1">
                    <a:solidFill>
                      <a:schemeClr val="tx2">
                        <a:lumMod val="75000"/>
                      </a:schemeClr>
                    </a:solidFill>
                  </a:rPr>
                  <a:t>Sum of Sales</a:t>
                </a:r>
              </a:p>
            </c:rich>
          </c:tx>
          <c:layout>
            <c:manualLayout>
              <c:xMode val="edge"/>
              <c:yMode val="edge"/>
              <c:x val="5.3339429036282159E-2"/>
              <c:y val="0.2571085581515426"/>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30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Excel.xlsx]Pivot_Analysis!PivotTable1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75000"/>
                  </a:schemeClr>
                </a:solidFill>
              </a:rPr>
              <a:t>Sales</a:t>
            </a:r>
            <a:r>
              <a:rPr lang="en-US" sz="1400" b="1" baseline="0">
                <a:solidFill>
                  <a:schemeClr val="tx2">
                    <a:lumMod val="75000"/>
                  </a:schemeClr>
                </a:solidFill>
              </a:rPr>
              <a:t> by Category</a:t>
            </a:r>
            <a:endParaRPr lang="en-US" sz="1400" b="1">
              <a:solidFill>
                <a:schemeClr val="tx2">
                  <a:lumMod val="75000"/>
                </a:schemeClr>
              </a:solidFill>
            </a:endParaRPr>
          </a:p>
        </c:rich>
      </c:tx>
      <c:layout>
        <c:manualLayout>
          <c:xMode val="edge"/>
          <c:yMode val="edge"/>
          <c:x val="0.3706874453193351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429818-F026-4446-9491-47D8B01FE90C}"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E85C33-16F6-4B34-86DD-A4E201983FE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92E682-E8D5-4C9B-A29D-DEB430AB152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Pivot_Analysis!$B$2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9441-4281-B14D-4BD4E578D6E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9441-4281-B14D-4BD4E578D6E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9441-4281-B14D-4BD4E578D6E8}"/>
              </c:ext>
            </c:extLst>
          </c:dPt>
          <c:dLbls>
            <c:dLbl>
              <c:idx val="0"/>
              <c:tx>
                <c:rich>
                  <a:bodyPr/>
                  <a:lstStyle/>
                  <a:p>
                    <a:fld id="{8C92E682-E8D5-4C9B-A29D-DEB430AB152D}"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441-4281-B14D-4BD4E578D6E8}"/>
                </c:ext>
              </c:extLst>
            </c:dLbl>
            <c:dLbl>
              <c:idx val="1"/>
              <c:tx>
                <c:rich>
                  <a:bodyPr/>
                  <a:lstStyle/>
                  <a:p>
                    <a:fld id="{D8E85C33-16F6-4B34-86DD-A4E201983FED}"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441-4281-B14D-4BD4E578D6E8}"/>
                </c:ext>
              </c:extLst>
            </c:dLbl>
            <c:dLbl>
              <c:idx val="2"/>
              <c:tx>
                <c:rich>
                  <a:bodyPr/>
                  <a:lstStyle/>
                  <a:p>
                    <a:fld id="{39429818-F026-4446-9491-47D8B01FE90C}"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441-4281-B14D-4BD4E578D6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Pivot_Analysis!$A$3:$A$6</c:f>
              <c:strCache>
                <c:ptCount val="3"/>
                <c:pt idx="0">
                  <c:v>Clothing</c:v>
                </c:pt>
                <c:pt idx="1">
                  <c:v>Electronics</c:v>
                </c:pt>
                <c:pt idx="2">
                  <c:v>Furniture</c:v>
                </c:pt>
              </c:strCache>
            </c:strRef>
          </c:cat>
          <c:val>
            <c:numRef>
              <c:f>Pivot_Analysis!$B$3:$B$6</c:f>
              <c:numCache>
                <c:formatCode>"₹"\ #,##0.00</c:formatCode>
                <c:ptCount val="3"/>
                <c:pt idx="0">
                  <c:v>503944</c:v>
                </c:pt>
                <c:pt idx="1">
                  <c:v>451876</c:v>
                </c:pt>
                <c:pt idx="2">
                  <c:v>431741</c:v>
                </c:pt>
              </c:numCache>
            </c:numRef>
          </c:val>
          <c:extLst>
            <c:ext xmlns:c16="http://schemas.microsoft.com/office/drawing/2014/chart" uri="{C3380CC4-5D6E-409C-BE32-E72D297353CC}">
              <c16:uniqueId val="{00000000-9441-4281-B14D-4BD4E578D6E8}"/>
            </c:ext>
          </c:extLst>
        </c:ser>
        <c:dLbls>
          <c:dLblPos val="ctr"/>
          <c:showLegendKey val="0"/>
          <c:showVal val="1"/>
          <c:showCatName val="0"/>
          <c:showSerName val="0"/>
          <c:showPercent val="0"/>
          <c:showBubbleSize val="0"/>
        </c:dLbls>
        <c:gapWidth val="182"/>
        <c:axId val="383039344"/>
        <c:axId val="383041264"/>
      </c:barChart>
      <c:catAx>
        <c:axId val="383039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2">
                        <a:lumMod val="75000"/>
                      </a:schemeClr>
                    </a:solidFill>
                  </a:rPr>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83041264"/>
        <c:crosses val="autoZero"/>
        <c:auto val="1"/>
        <c:lblAlgn val="ctr"/>
        <c:lblOffset val="100"/>
        <c:noMultiLvlLbl val="0"/>
      </c:catAx>
      <c:valAx>
        <c:axId val="383041264"/>
        <c:scaling>
          <c:orientation val="minMax"/>
        </c:scaling>
        <c:delete val="0"/>
        <c:axPos val="b"/>
        <c:majorGridlines>
          <c:spPr>
            <a:ln w="9525" cap="flat" cmpd="sng" algn="ctr">
              <a:solidFill>
                <a:schemeClr val="bg1">
                  <a:lumMod val="7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2">
                        <a:lumMod val="75000"/>
                      </a:schemeClr>
                    </a:solidFill>
                  </a:rPr>
                  <a:t>Sum</a:t>
                </a:r>
                <a:r>
                  <a:rPr lang="en-IN" sz="1200" b="1" baseline="0">
                    <a:solidFill>
                      <a:schemeClr val="tx2">
                        <a:lumMod val="75000"/>
                      </a:schemeClr>
                    </a:solidFill>
                  </a:rPr>
                  <a:t> of Sales</a:t>
                </a:r>
                <a:endParaRPr lang="en-IN" sz="12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3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Excel.xlsx]Pivot_Analysis!PivotTable2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Profit</a:t>
            </a:r>
            <a:r>
              <a:rPr lang="en-US" b="1" baseline="0">
                <a:solidFill>
                  <a:schemeClr val="tx2">
                    <a:lumMod val="75000"/>
                  </a:schemeClr>
                </a:solidFill>
              </a:rPr>
              <a:t> by Region</a:t>
            </a:r>
            <a:endParaRPr lang="en-US" b="1">
              <a:solidFill>
                <a:schemeClr val="tx2">
                  <a:lumMod val="75000"/>
                </a:schemeClr>
              </a:solidFill>
            </a:endParaRPr>
          </a:p>
        </c:rich>
      </c:tx>
      <c:layout>
        <c:manualLayout>
          <c:xMode val="edge"/>
          <c:yMode val="edge"/>
          <c:x val="0.366305555555555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0DF236-80E9-423C-B6F4-D65CF503C498}"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9DC3FF-1876-4A15-ABA4-274E83EA5604}"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837757-7D96-43FC-A804-597FCED9F7A1}"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B143A65-E299-478D-8359-F0AA4091D98A}"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Pivot_Analysis!$B$9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4E9C-476B-846A-1BD9C730D84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E9C-476B-846A-1BD9C730D84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4E9C-476B-846A-1BD9C730D84B}"/>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4E9C-476B-846A-1BD9C730D84B}"/>
              </c:ext>
            </c:extLst>
          </c:dPt>
          <c:dLbls>
            <c:dLbl>
              <c:idx val="0"/>
              <c:tx>
                <c:rich>
                  <a:bodyPr/>
                  <a:lstStyle/>
                  <a:p>
                    <a:fld id="{EB143A65-E299-478D-8359-F0AA4091D98A}"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E9C-476B-846A-1BD9C730D84B}"/>
                </c:ext>
              </c:extLst>
            </c:dLbl>
            <c:dLbl>
              <c:idx val="1"/>
              <c:tx>
                <c:rich>
                  <a:bodyPr/>
                  <a:lstStyle/>
                  <a:p>
                    <a:fld id="{43837757-7D96-43FC-A804-597FCED9F7A1}"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E9C-476B-846A-1BD9C730D84B}"/>
                </c:ext>
              </c:extLst>
            </c:dLbl>
            <c:dLbl>
              <c:idx val="2"/>
              <c:tx>
                <c:rich>
                  <a:bodyPr/>
                  <a:lstStyle/>
                  <a:p>
                    <a:fld id="{BF9DC3FF-1876-4A15-ABA4-274E83EA5604}"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E9C-476B-846A-1BD9C730D84B}"/>
                </c:ext>
              </c:extLst>
            </c:dLbl>
            <c:dLbl>
              <c:idx val="3"/>
              <c:tx>
                <c:rich>
                  <a:bodyPr/>
                  <a:lstStyle/>
                  <a:p>
                    <a:fld id="{1C0DF236-80E9-423C-B6F4-D65CF503C498}"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E9C-476B-846A-1BD9C730D8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Pivot_Analysis!$A$10:$A$14</c:f>
              <c:strCache>
                <c:ptCount val="4"/>
                <c:pt idx="0">
                  <c:v>East</c:v>
                </c:pt>
                <c:pt idx="1">
                  <c:v>North</c:v>
                </c:pt>
                <c:pt idx="2">
                  <c:v>South</c:v>
                </c:pt>
                <c:pt idx="3">
                  <c:v>West</c:v>
                </c:pt>
              </c:strCache>
            </c:strRef>
          </c:cat>
          <c:val>
            <c:numRef>
              <c:f>Pivot_Analysis!$B$10:$B$14</c:f>
              <c:numCache>
                <c:formatCode>"₹"\ #,##0.00</c:formatCode>
                <c:ptCount val="4"/>
                <c:pt idx="0">
                  <c:v>128535.26999999999</c:v>
                </c:pt>
                <c:pt idx="1">
                  <c:v>117487.90999999997</c:v>
                </c:pt>
                <c:pt idx="2">
                  <c:v>114481.98000000001</c:v>
                </c:pt>
                <c:pt idx="3">
                  <c:v>120587.02000000002</c:v>
                </c:pt>
              </c:numCache>
            </c:numRef>
          </c:val>
          <c:extLst>
            <c:ext xmlns:c16="http://schemas.microsoft.com/office/drawing/2014/chart" uri="{C3380CC4-5D6E-409C-BE32-E72D297353CC}">
              <c16:uniqueId val="{00000000-4E9C-476B-846A-1BD9C730D84B}"/>
            </c:ext>
          </c:extLst>
        </c:ser>
        <c:dLbls>
          <c:dLblPos val="outEnd"/>
          <c:showLegendKey val="0"/>
          <c:showVal val="1"/>
          <c:showCatName val="0"/>
          <c:showSerName val="0"/>
          <c:showPercent val="0"/>
          <c:showBubbleSize val="0"/>
        </c:dLbls>
        <c:gapWidth val="182"/>
        <c:axId val="2074845296"/>
        <c:axId val="2074845776"/>
      </c:barChart>
      <c:catAx>
        <c:axId val="2074845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2">
                        <a:lumMod val="75000"/>
                      </a:schemeClr>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45776"/>
        <c:crosses val="autoZero"/>
        <c:auto val="1"/>
        <c:lblAlgn val="ctr"/>
        <c:lblOffset val="100"/>
        <c:noMultiLvlLbl val="0"/>
      </c:catAx>
      <c:valAx>
        <c:axId val="2074845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2">
                        <a:lumMod val="75000"/>
                      </a:schemeClr>
                    </a:solidFill>
                  </a:rPr>
                  <a:t>Sum</a:t>
                </a:r>
                <a:r>
                  <a:rPr lang="en-IN" sz="1200" b="1" baseline="0">
                    <a:solidFill>
                      <a:schemeClr val="tx2">
                        <a:lumMod val="75000"/>
                      </a:schemeClr>
                    </a:solidFill>
                  </a:rPr>
                  <a:t> of 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4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Excel.xlsx]Pivot_Analysis!PivotTable4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Top</a:t>
            </a:r>
            <a:r>
              <a:rPr lang="en-US" b="1" baseline="0">
                <a:solidFill>
                  <a:schemeClr val="tx2">
                    <a:lumMod val="75000"/>
                  </a:schemeClr>
                </a:solidFill>
              </a:rPr>
              <a:t> 5 Product by Sales</a:t>
            </a:r>
            <a:endParaRPr lang="en-US"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Pivot_Analysis!$A$18:$A$23</c:f>
              <c:strCache>
                <c:ptCount val="5"/>
                <c:pt idx="0">
                  <c:v>Chair</c:v>
                </c:pt>
                <c:pt idx="1">
                  <c:v>Headphones</c:v>
                </c:pt>
                <c:pt idx="2">
                  <c:v>Jacket</c:v>
                </c:pt>
                <c:pt idx="3">
                  <c:v>Jeans</c:v>
                </c:pt>
                <c:pt idx="4">
                  <c:v>T-Shirt</c:v>
                </c:pt>
              </c:strCache>
            </c:strRef>
          </c:cat>
          <c:val>
            <c:numRef>
              <c:f>Pivot_Analysis!$B$18:$B$23</c:f>
              <c:numCache>
                <c:formatCode>"₹"\ #,##0.00</c:formatCode>
                <c:ptCount val="5"/>
                <c:pt idx="0">
                  <c:v>158773</c:v>
                </c:pt>
                <c:pt idx="1">
                  <c:v>170175</c:v>
                </c:pt>
                <c:pt idx="2">
                  <c:v>192592</c:v>
                </c:pt>
                <c:pt idx="3">
                  <c:v>165358</c:v>
                </c:pt>
                <c:pt idx="4">
                  <c:v>145994</c:v>
                </c:pt>
              </c:numCache>
            </c:numRef>
          </c:val>
          <c:extLst>
            <c:ext xmlns:c16="http://schemas.microsoft.com/office/drawing/2014/chart" uri="{C3380CC4-5D6E-409C-BE32-E72D297353CC}">
              <c16:uniqueId val="{00000000-94DA-41C5-A7ED-5AB453D34AD4}"/>
            </c:ext>
          </c:extLst>
        </c:ser>
        <c:dLbls>
          <c:dLblPos val="outEnd"/>
          <c:showLegendKey val="0"/>
          <c:showVal val="1"/>
          <c:showCatName val="0"/>
          <c:showSerName val="0"/>
          <c:showPercent val="0"/>
          <c:showBubbleSize val="0"/>
        </c:dLbls>
        <c:gapWidth val="182"/>
        <c:axId val="383054704"/>
        <c:axId val="383057104"/>
      </c:barChart>
      <c:catAx>
        <c:axId val="383054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2">
                        <a:lumMod val="75000"/>
                      </a:schemeClr>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57104"/>
        <c:crosses val="autoZero"/>
        <c:auto val="1"/>
        <c:lblAlgn val="ctr"/>
        <c:lblOffset val="100"/>
        <c:noMultiLvlLbl val="0"/>
      </c:catAx>
      <c:valAx>
        <c:axId val="383057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2">
                        <a:lumMod val="75000"/>
                      </a:schemeClr>
                    </a:solidFill>
                  </a:rPr>
                  <a:t>Sum</a:t>
                </a:r>
                <a:r>
                  <a:rPr lang="en-IN" sz="1200" b="1" baseline="0">
                    <a:solidFill>
                      <a:schemeClr val="tx2">
                        <a:lumMod val="75000"/>
                      </a:schemeClr>
                    </a:solidFill>
                  </a:rPr>
                  <a:t> of Sales</a:t>
                </a:r>
                <a:endParaRPr lang="en-IN" sz="1200"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5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124918</xdr:colOff>
      <xdr:row>56</xdr:row>
      <xdr:rowOff>31229</xdr:rowOff>
    </xdr:to>
    <xdr:pic>
      <xdr:nvPicPr>
        <xdr:cNvPr id="3" name="Picture 2">
          <a:extLst>
            <a:ext uri="{FF2B5EF4-FFF2-40B4-BE49-F238E27FC236}">
              <a16:creationId xmlns:a16="http://schemas.microsoft.com/office/drawing/2014/main" id="{4367B259-2213-20E2-94C7-039C86DC20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976236" cy="10699229"/>
        </a:xfrm>
        <a:prstGeom prst="rect">
          <a:avLst/>
        </a:pr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solidFill>
            <a:schemeClr val="tx2">
              <a:lumMod val="20000"/>
              <a:lumOff val="80000"/>
            </a:schemeClr>
          </a:solidFill>
        </a:ln>
      </xdr:spPr>
    </xdr:pic>
    <xdr:clientData/>
  </xdr:twoCellAnchor>
  <xdr:twoCellAnchor>
    <xdr:from>
      <xdr:col>3</xdr:col>
      <xdr:colOff>600075</xdr:colOff>
      <xdr:row>0</xdr:row>
      <xdr:rowOff>76200</xdr:rowOff>
    </xdr:from>
    <xdr:to>
      <xdr:col>15</xdr:col>
      <xdr:colOff>57150</xdr:colOff>
      <xdr:row>2</xdr:row>
      <xdr:rowOff>104775</xdr:rowOff>
    </xdr:to>
    <xdr:sp macro="" textlink="">
      <xdr:nvSpPr>
        <xdr:cNvPr id="5" name="Rectangle 4">
          <a:extLst>
            <a:ext uri="{FF2B5EF4-FFF2-40B4-BE49-F238E27FC236}">
              <a16:creationId xmlns:a16="http://schemas.microsoft.com/office/drawing/2014/main" id="{0C6A7165-59DE-283C-28CB-C69EB75E778B}"/>
            </a:ext>
          </a:extLst>
        </xdr:cNvPr>
        <xdr:cNvSpPr/>
      </xdr:nvSpPr>
      <xdr:spPr>
        <a:xfrm>
          <a:off x="2428875" y="76200"/>
          <a:ext cx="6772275"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576262</xdr:colOff>
      <xdr:row>0</xdr:row>
      <xdr:rowOff>0</xdr:rowOff>
    </xdr:from>
    <xdr:to>
      <xdr:col>8</xdr:col>
      <xdr:colOff>423862</xdr:colOff>
      <xdr:row>2</xdr:row>
      <xdr:rowOff>57150</xdr:rowOff>
    </xdr:to>
    <xdr:sp macro="" textlink="">
      <xdr:nvSpPr>
        <xdr:cNvPr id="7" name="TextBox 6">
          <a:extLst>
            <a:ext uri="{FF2B5EF4-FFF2-40B4-BE49-F238E27FC236}">
              <a16:creationId xmlns:a16="http://schemas.microsoft.com/office/drawing/2014/main" id="{87BD8676-8BA4-2F99-1066-E7AA433CDB7B}"/>
            </a:ext>
          </a:extLst>
        </xdr:cNvPr>
        <xdr:cNvSpPr txBox="1"/>
      </xdr:nvSpPr>
      <xdr:spPr>
        <a:xfrm>
          <a:off x="3590925" y="0"/>
          <a:ext cx="70104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lumMod val="75000"/>
                </a:schemeClr>
              </a:solidFill>
              <a:latin typeface="Britannic Bold" panose="020B0903060703020204" pitchFamily="34" charset="0"/>
            </a:rPr>
            <a:t>Retail Sales Performance Dashboard</a:t>
          </a:r>
        </a:p>
        <a:p>
          <a:endParaRPr lang="en-IN" sz="1100"/>
        </a:p>
      </xdr:txBody>
    </xdr:sp>
    <xdr:clientData/>
  </xdr:twoCellAnchor>
  <xdr:twoCellAnchor>
    <xdr:from>
      <xdr:col>0</xdr:col>
      <xdr:colOff>0</xdr:colOff>
      <xdr:row>2</xdr:row>
      <xdr:rowOff>104775</xdr:rowOff>
    </xdr:from>
    <xdr:to>
      <xdr:col>18</xdr:col>
      <xdr:colOff>490537</xdr:colOff>
      <xdr:row>2</xdr:row>
      <xdr:rowOff>180975</xdr:rowOff>
    </xdr:to>
    <xdr:cxnSp macro="">
      <xdr:nvCxnSpPr>
        <xdr:cNvPr id="19" name="Straight Connector 18">
          <a:extLst>
            <a:ext uri="{FF2B5EF4-FFF2-40B4-BE49-F238E27FC236}">
              <a16:creationId xmlns:a16="http://schemas.microsoft.com/office/drawing/2014/main" id="{F5AB28EF-013B-35DD-AF90-16F01FA0A8DE}"/>
            </a:ext>
          </a:extLst>
        </xdr:cNvPr>
        <xdr:cNvCxnSpPr/>
      </xdr:nvCxnSpPr>
      <xdr:spPr>
        <a:xfrm>
          <a:off x="0" y="485775"/>
          <a:ext cx="22926675" cy="7620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428624</xdr:colOff>
      <xdr:row>2</xdr:row>
      <xdr:rowOff>142875</xdr:rowOff>
    </xdr:from>
    <xdr:to>
      <xdr:col>2</xdr:col>
      <xdr:colOff>600074</xdr:colOff>
      <xdr:row>5</xdr:row>
      <xdr:rowOff>104775</xdr:rowOff>
    </xdr:to>
    <xdr:sp macro="" textlink="">
      <xdr:nvSpPr>
        <xdr:cNvPr id="25" name="TextBox 24">
          <a:extLst>
            <a:ext uri="{FF2B5EF4-FFF2-40B4-BE49-F238E27FC236}">
              <a16:creationId xmlns:a16="http://schemas.microsoft.com/office/drawing/2014/main" id="{D458DE57-3B14-0561-5B0C-8EECD5B7A5A1}"/>
            </a:ext>
          </a:extLst>
        </xdr:cNvPr>
        <xdr:cNvSpPr txBox="1"/>
      </xdr:nvSpPr>
      <xdr:spPr>
        <a:xfrm>
          <a:off x="2076448" y="523875"/>
          <a:ext cx="156210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solidFill>
                <a:schemeClr val="tx2">
                  <a:lumMod val="75000"/>
                </a:schemeClr>
              </a:solidFill>
            </a:rPr>
            <a:t>Total Sales</a:t>
          </a:r>
        </a:p>
        <a:p>
          <a:pPr algn="l"/>
          <a:endParaRPr lang="en-IN" sz="1100" b="0" u="none"/>
        </a:p>
      </xdr:txBody>
    </xdr:sp>
    <xdr:clientData/>
  </xdr:twoCellAnchor>
  <xdr:oneCellAnchor>
    <xdr:from>
      <xdr:col>2</xdr:col>
      <xdr:colOff>528637</xdr:colOff>
      <xdr:row>6</xdr:row>
      <xdr:rowOff>0</xdr:rowOff>
    </xdr:from>
    <xdr:ext cx="184731" cy="264560"/>
    <xdr:sp macro="" textlink="">
      <xdr:nvSpPr>
        <xdr:cNvPr id="27" name="TextBox 26">
          <a:extLst>
            <a:ext uri="{FF2B5EF4-FFF2-40B4-BE49-F238E27FC236}">
              <a16:creationId xmlns:a16="http://schemas.microsoft.com/office/drawing/2014/main" id="{53240B62-4B0A-5CF7-249C-587AF2EBF839}"/>
            </a:ext>
          </a:extLst>
        </xdr:cNvPr>
        <xdr:cNvSpPr txBox="1"/>
      </xdr:nvSpPr>
      <xdr:spPr>
        <a:xfrm>
          <a:off x="3495674" y="114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528636</xdr:colOff>
      <xdr:row>4</xdr:row>
      <xdr:rowOff>9525</xdr:rowOff>
    </xdr:from>
    <xdr:ext cx="1333498" cy="280205"/>
    <xdr:sp macro="" textlink="KPI_Summary!B2">
      <xdr:nvSpPr>
        <xdr:cNvPr id="29" name="TextBox 28">
          <a:extLst>
            <a:ext uri="{FF2B5EF4-FFF2-40B4-BE49-F238E27FC236}">
              <a16:creationId xmlns:a16="http://schemas.microsoft.com/office/drawing/2014/main" id="{B830AABE-B950-5D49-9020-A427E6483AE1}"/>
            </a:ext>
          </a:extLst>
        </xdr:cNvPr>
        <xdr:cNvSpPr txBox="1"/>
      </xdr:nvSpPr>
      <xdr:spPr>
        <a:xfrm>
          <a:off x="2276473" y="771525"/>
          <a:ext cx="133349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91F5BE9-90D2-45E0-84EC-929607667197}" type="TxLink">
            <a:rPr lang="en-US" sz="1200" b="1" i="0" u="none" strike="noStrike">
              <a:solidFill>
                <a:schemeClr val="tx2">
                  <a:lumMod val="75000"/>
                </a:schemeClr>
              </a:solidFill>
              <a:latin typeface="Calibri"/>
              <a:ea typeface="Calibri"/>
              <a:cs typeface="Calibri"/>
            </a:rPr>
            <a:pPr/>
            <a:t>₹ 13,87,561.00</a:t>
          </a:fld>
          <a:endParaRPr lang="en-IN" sz="1100" b="1">
            <a:solidFill>
              <a:schemeClr val="tx2">
                <a:lumMod val="75000"/>
              </a:schemeClr>
            </a:solidFill>
          </a:endParaRPr>
        </a:p>
      </xdr:txBody>
    </xdr:sp>
    <xdr:clientData/>
  </xdr:oneCellAnchor>
  <xdr:twoCellAnchor>
    <xdr:from>
      <xdr:col>1</xdr:col>
      <xdr:colOff>238125</xdr:colOff>
      <xdr:row>2</xdr:row>
      <xdr:rowOff>161925</xdr:rowOff>
    </xdr:from>
    <xdr:to>
      <xdr:col>2</xdr:col>
      <xdr:colOff>390525</xdr:colOff>
      <xdr:row>5</xdr:row>
      <xdr:rowOff>85725</xdr:rowOff>
    </xdr:to>
    <xdr:sp macro="" textlink="">
      <xdr:nvSpPr>
        <xdr:cNvPr id="31" name="Rectangle: Rounded Corners 30">
          <a:extLst>
            <a:ext uri="{FF2B5EF4-FFF2-40B4-BE49-F238E27FC236}">
              <a16:creationId xmlns:a16="http://schemas.microsoft.com/office/drawing/2014/main" id="{44E66557-02B9-49A2-6519-2099632AD13D}"/>
            </a:ext>
          </a:extLst>
        </xdr:cNvPr>
        <xdr:cNvSpPr/>
      </xdr:nvSpPr>
      <xdr:spPr>
        <a:xfrm>
          <a:off x="1695450" y="542925"/>
          <a:ext cx="1524000"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414336</xdr:colOff>
      <xdr:row>2</xdr:row>
      <xdr:rowOff>180975</xdr:rowOff>
    </xdr:from>
    <xdr:to>
      <xdr:col>2</xdr:col>
      <xdr:colOff>581024</xdr:colOff>
      <xdr:row>5</xdr:row>
      <xdr:rowOff>85725</xdr:rowOff>
    </xdr:to>
    <xdr:sp macro="" textlink="">
      <xdr:nvSpPr>
        <xdr:cNvPr id="32" name="Rectangle: Rounded Corners 31">
          <a:extLst>
            <a:ext uri="{FF2B5EF4-FFF2-40B4-BE49-F238E27FC236}">
              <a16:creationId xmlns:a16="http://schemas.microsoft.com/office/drawing/2014/main" id="{B8E65869-91E5-B52E-AE53-DDC637A62AE5}"/>
            </a:ext>
          </a:extLst>
        </xdr:cNvPr>
        <xdr:cNvSpPr/>
      </xdr:nvSpPr>
      <xdr:spPr>
        <a:xfrm>
          <a:off x="2047873" y="561975"/>
          <a:ext cx="1552576" cy="476250"/>
        </a:xfrm>
        <a:prstGeom prst="roundRect">
          <a:avLst/>
        </a:prstGeom>
        <a:no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357187</xdr:colOff>
      <xdr:row>4</xdr:row>
      <xdr:rowOff>0</xdr:rowOff>
    </xdr:from>
    <xdr:ext cx="184731" cy="264560"/>
    <xdr:sp macro="" textlink="">
      <xdr:nvSpPr>
        <xdr:cNvPr id="33" name="TextBox 32">
          <a:extLst>
            <a:ext uri="{FF2B5EF4-FFF2-40B4-BE49-F238E27FC236}">
              <a16:creationId xmlns:a16="http://schemas.microsoft.com/office/drawing/2014/main" id="{145D42ED-9AB6-1A99-7119-B1DDA46CE756}"/>
            </a:ext>
          </a:extLst>
        </xdr:cNvPr>
        <xdr:cNvSpPr txBox="1"/>
      </xdr:nvSpPr>
      <xdr:spPr>
        <a:xfrm>
          <a:off x="3152774"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300036</xdr:colOff>
      <xdr:row>2</xdr:row>
      <xdr:rowOff>180976</xdr:rowOff>
    </xdr:from>
    <xdr:to>
      <xdr:col>4</xdr:col>
      <xdr:colOff>428624</xdr:colOff>
      <xdr:row>5</xdr:row>
      <xdr:rowOff>66676</xdr:rowOff>
    </xdr:to>
    <xdr:sp macro="" textlink="">
      <xdr:nvSpPr>
        <xdr:cNvPr id="37" name="TextBox 36">
          <a:extLst>
            <a:ext uri="{FF2B5EF4-FFF2-40B4-BE49-F238E27FC236}">
              <a16:creationId xmlns:a16="http://schemas.microsoft.com/office/drawing/2014/main" id="{4527EA27-22D8-A839-E692-772BC19F16A5}"/>
            </a:ext>
          </a:extLst>
        </xdr:cNvPr>
        <xdr:cNvSpPr txBox="1"/>
      </xdr:nvSpPr>
      <xdr:spPr>
        <a:xfrm>
          <a:off x="4257672" y="561976"/>
          <a:ext cx="14763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solidFill>
                <a:schemeClr val="tx2">
                  <a:lumMod val="75000"/>
                </a:schemeClr>
              </a:solidFill>
            </a:rPr>
            <a:t>Total</a:t>
          </a:r>
          <a:r>
            <a:rPr lang="en-IN" sz="1400" b="1" u="sng" baseline="0">
              <a:solidFill>
                <a:schemeClr val="tx2">
                  <a:lumMod val="75000"/>
                </a:schemeClr>
              </a:solidFill>
            </a:rPr>
            <a:t> profit</a:t>
          </a:r>
          <a:endParaRPr lang="en-IN" sz="1400" b="1" u="sng">
            <a:solidFill>
              <a:schemeClr val="tx2">
                <a:lumMod val="75000"/>
              </a:schemeClr>
            </a:solidFill>
          </a:endParaRPr>
        </a:p>
      </xdr:txBody>
    </xdr:sp>
    <xdr:clientData/>
  </xdr:twoCellAnchor>
  <xdr:oneCellAnchor>
    <xdr:from>
      <xdr:col>3</xdr:col>
      <xdr:colOff>404812</xdr:colOff>
      <xdr:row>4</xdr:row>
      <xdr:rowOff>28575</xdr:rowOff>
    </xdr:from>
    <xdr:ext cx="1076325" cy="280205"/>
    <xdr:sp macro="" textlink="KPI_Summary!B3">
      <xdr:nvSpPr>
        <xdr:cNvPr id="38" name="TextBox 37">
          <a:extLst>
            <a:ext uri="{FF2B5EF4-FFF2-40B4-BE49-F238E27FC236}">
              <a16:creationId xmlns:a16="http://schemas.microsoft.com/office/drawing/2014/main" id="{7CA53E15-7EB2-29F1-8BB9-68E79EEF0B12}"/>
            </a:ext>
          </a:extLst>
        </xdr:cNvPr>
        <xdr:cNvSpPr txBox="1"/>
      </xdr:nvSpPr>
      <xdr:spPr>
        <a:xfrm>
          <a:off x="4467225" y="790575"/>
          <a:ext cx="10763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B9168A1-F62C-4784-B4AA-0401C7E88C12}" type="TxLink">
            <a:rPr lang="en-US" sz="1200" b="1" i="0" u="none" strike="noStrike">
              <a:solidFill>
                <a:schemeClr val="tx2">
                  <a:lumMod val="75000"/>
                </a:schemeClr>
              </a:solidFill>
              <a:latin typeface="Calibri"/>
              <a:ea typeface="Calibri"/>
              <a:cs typeface="Calibri"/>
            </a:rPr>
            <a:pPr/>
            <a:t>₹ 4,81,092.18</a:t>
          </a:fld>
          <a:endParaRPr lang="en-IN" sz="1100" b="1">
            <a:solidFill>
              <a:schemeClr val="tx2">
                <a:lumMod val="75000"/>
              </a:schemeClr>
            </a:solidFill>
          </a:endParaRPr>
        </a:p>
      </xdr:txBody>
    </xdr:sp>
    <xdr:clientData/>
  </xdr:oneCellAnchor>
  <xdr:twoCellAnchor>
    <xdr:from>
      <xdr:col>3</xdr:col>
      <xdr:colOff>261935</xdr:colOff>
      <xdr:row>3</xdr:row>
      <xdr:rowOff>0</xdr:rowOff>
    </xdr:from>
    <xdr:to>
      <xdr:col>4</xdr:col>
      <xdr:colOff>433386</xdr:colOff>
      <xdr:row>5</xdr:row>
      <xdr:rowOff>104775</xdr:rowOff>
    </xdr:to>
    <xdr:sp macro="" textlink="">
      <xdr:nvSpPr>
        <xdr:cNvPr id="39" name="Rectangle: Rounded Corners 38">
          <a:extLst>
            <a:ext uri="{FF2B5EF4-FFF2-40B4-BE49-F238E27FC236}">
              <a16:creationId xmlns:a16="http://schemas.microsoft.com/office/drawing/2014/main" id="{16336A13-C96A-1DE8-2798-3A17674A4EAB}"/>
            </a:ext>
          </a:extLst>
        </xdr:cNvPr>
        <xdr:cNvSpPr/>
      </xdr:nvSpPr>
      <xdr:spPr>
        <a:xfrm>
          <a:off x="4181471" y="571500"/>
          <a:ext cx="1562102" cy="485775"/>
        </a:xfrm>
        <a:prstGeom prst="roundRect">
          <a:avLst/>
        </a:prstGeom>
        <a:no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233361</xdr:colOff>
      <xdr:row>2</xdr:row>
      <xdr:rowOff>142875</xdr:rowOff>
    </xdr:from>
    <xdr:ext cx="1362075" cy="457199"/>
    <xdr:sp macro="" textlink="">
      <xdr:nvSpPr>
        <xdr:cNvPr id="40" name="TextBox 39">
          <a:extLst>
            <a:ext uri="{FF2B5EF4-FFF2-40B4-BE49-F238E27FC236}">
              <a16:creationId xmlns:a16="http://schemas.microsoft.com/office/drawing/2014/main" id="{1D815B2E-EB33-911E-7DF7-42D056C1F672}"/>
            </a:ext>
          </a:extLst>
        </xdr:cNvPr>
        <xdr:cNvSpPr txBox="1"/>
      </xdr:nvSpPr>
      <xdr:spPr>
        <a:xfrm>
          <a:off x="6562722" y="523875"/>
          <a:ext cx="1362075" cy="457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u="sng">
              <a:solidFill>
                <a:schemeClr val="tx2">
                  <a:lumMod val="75000"/>
                </a:schemeClr>
              </a:solidFill>
            </a:rPr>
            <a:t>Profit Margin</a:t>
          </a:r>
        </a:p>
      </xdr:txBody>
    </xdr:sp>
    <xdr:clientData/>
  </xdr:oneCellAnchor>
  <xdr:twoCellAnchor>
    <xdr:from>
      <xdr:col>5</xdr:col>
      <xdr:colOff>233360</xdr:colOff>
      <xdr:row>4</xdr:row>
      <xdr:rowOff>9525</xdr:rowOff>
    </xdr:from>
    <xdr:to>
      <xdr:col>6</xdr:col>
      <xdr:colOff>257173</xdr:colOff>
      <xdr:row>5</xdr:row>
      <xdr:rowOff>133351</xdr:rowOff>
    </xdr:to>
    <xdr:sp macro="" textlink="KPI_Summary!B4">
      <xdr:nvSpPr>
        <xdr:cNvPr id="41" name="TextBox 40">
          <a:extLst>
            <a:ext uri="{FF2B5EF4-FFF2-40B4-BE49-F238E27FC236}">
              <a16:creationId xmlns:a16="http://schemas.microsoft.com/office/drawing/2014/main" id="{FC36BE6B-3252-653B-A7A5-9D939F0ABAE1}"/>
            </a:ext>
          </a:extLst>
        </xdr:cNvPr>
        <xdr:cNvSpPr txBox="1"/>
      </xdr:nvSpPr>
      <xdr:spPr>
        <a:xfrm>
          <a:off x="6562721" y="771525"/>
          <a:ext cx="1266826"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0BC652-453F-4A54-B400-FFD326AF92BE}" type="TxLink">
            <a:rPr lang="en-US" sz="1200" b="1" i="0" u="none" strike="noStrike">
              <a:solidFill>
                <a:schemeClr val="tx2">
                  <a:lumMod val="75000"/>
                </a:schemeClr>
              </a:solidFill>
              <a:latin typeface="Calibri"/>
              <a:ea typeface="Calibri"/>
              <a:cs typeface="Calibri"/>
            </a:rPr>
            <a:pPr algn="ctr"/>
            <a:t>35%</a:t>
          </a:fld>
          <a:endParaRPr lang="en-IN" sz="1100" b="1">
            <a:solidFill>
              <a:schemeClr val="tx2">
                <a:lumMod val="75000"/>
              </a:schemeClr>
            </a:solidFill>
          </a:endParaRPr>
        </a:p>
      </xdr:txBody>
    </xdr:sp>
    <xdr:clientData/>
  </xdr:twoCellAnchor>
  <xdr:twoCellAnchor>
    <xdr:from>
      <xdr:col>5</xdr:col>
      <xdr:colOff>180974</xdr:colOff>
      <xdr:row>2</xdr:row>
      <xdr:rowOff>180975</xdr:rowOff>
    </xdr:from>
    <xdr:to>
      <xdr:col>6</xdr:col>
      <xdr:colOff>342900</xdr:colOff>
      <xdr:row>5</xdr:row>
      <xdr:rowOff>95250</xdr:rowOff>
    </xdr:to>
    <xdr:sp macro="" textlink="">
      <xdr:nvSpPr>
        <xdr:cNvPr id="42" name="Rectangle: Rounded Corners 41">
          <a:extLst>
            <a:ext uri="{FF2B5EF4-FFF2-40B4-BE49-F238E27FC236}">
              <a16:creationId xmlns:a16="http://schemas.microsoft.com/office/drawing/2014/main" id="{5922CA78-079A-43C1-DA3D-A3BF80623486}"/>
            </a:ext>
          </a:extLst>
        </xdr:cNvPr>
        <xdr:cNvSpPr/>
      </xdr:nvSpPr>
      <xdr:spPr>
        <a:xfrm>
          <a:off x="6457948" y="561975"/>
          <a:ext cx="1543052" cy="485775"/>
        </a:xfrm>
        <a:prstGeom prst="roundRect">
          <a:avLst/>
        </a:prstGeom>
        <a:no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19047</xdr:colOff>
      <xdr:row>2</xdr:row>
      <xdr:rowOff>171450</xdr:rowOff>
    </xdr:from>
    <xdr:to>
      <xdr:col>8</xdr:col>
      <xdr:colOff>257173</xdr:colOff>
      <xdr:row>5</xdr:row>
      <xdr:rowOff>180975</xdr:rowOff>
    </xdr:to>
    <xdr:sp macro="" textlink="">
      <xdr:nvSpPr>
        <xdr:cNvPr id="43" name="TextBox 42">
          <a:extLst>
            <a:ext uri="{FF2B5EF4-FFF2-40B4-BE49-F238E27FC236}">
              <a16:creationId xmlns:a16="http://schemas.microsoft.com/office/drawing/2014/main" id="{CCF50D2C-2510-F867-5DD1-521A29035525}"/>
            </a:ext>
          </a:extLst>
        </xdr:cNvPr>
        <xdr:cNvSpPr txBox="1"/>
      </xdr:nvSpPr>
      <xdr:spPr>
        <a:xfrm>
          <a:off x="8572494" y="552450"/>
          <a:ext cx="1695452"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solidFill>
                <a:schemeClr val="tx2">
                  <a:lumMod val="75000"/>
                </a:schemeClr>
              </a:solidFill>
            </a:rPr>
            <a:t>Avg Order Value</a:t>
          </a:r>
        </a:p>
      </xdr:txBody>
    </xdr:sp>
    <xdr:clientData/>
  </xdr:twoCellAnchor>
  <xdr:twoCellAnchor>
    <xdr:from>
      <xdr:col>7</xdr:col>
      <xdr:colOff>52386</xdr:colOff>
      <xdr:row>4</xdr:row>
      <xdr:rowOff>19051</xdr:rowOff>
    </xdr:from>
    <xdr:to>
      <xdr:col>8</xdr:col>
      <xdr:colOff>161923</xdr:colOff>
      <xdr:row>5</xdr:row>
      <xdr:rowOff>114301</xdr:rowOff>
    </xdr:to>
    <xdr:sp macro="" textlink="KPI_Summary!B5">
      <xdr:nvSpPr>
        <xdr:cNvPr id="44" name="TextBox 43">
          <a:extLst>
            <a:ext uri="{FF2B5EF4-FFF2-40B4-BE49-F238E27FC236}">
              <a16:creationId xmlns:a16="http://schemas.microsoft.com/office/drawing/2014/main" id="{AA0AD90F-F624-AFFC-A421-9909EBA411DC}"/>
            </a:ext>
          </a:extLst>
        </xdr:cNvPr>
        <xdr:cNvSpPr txBox="1"/>
      </xdr:nvSpPr>
      <xdr:spPr>
        <a:xfrm>
          <a:off x="8639173" y="781051"/>
          <a:ext cx="14382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0CFB14-25F1-4C21-B32E-C7BFFDC2021A}" type="TxLink">
            <a:rPr lang="en-US" sz="1200" b="1" i="0" u="none" strike="noStrike">
              <a:solidFill>
                <a:schemeClr val="tx2">
                  <a:lumMod val="75000"/>
                </a:schemeClr>
              </a:solidFill>
              <a:latin typeface="Calibri"/>
              <a:ea typeface="Calibri"/>
              <a:cs typeface="Calibri"/>
            </a:rPr>
            <a:pPr algn="ctr"/>
            <a:t>₹ 2,775.12</a:t>
          </a:fld>
          <a:endParaRPr lang="en-IN" sz="1100" b="1">
            <a:solidFill>
              <a:schemeClr val="tx2">
                <a:lumMod val="75000"/>
              </a:schemeClr>
            </a:solidFill>
          </a:endParaRPr>
        </a:p>
      </xdr:txBody>
    </xdr:sp>
    <xdr:clientData/>
  </xdr:twoCellAnchor>
  <xdr:twoCellAnchor>
    <xdr:from>
      <xdr:col>7</xdr:col>
      <xdr:colOff>14285</xdr:colOff>
      <xdr:row>3</xdr:row>
      <xdr:rowOff>0</xdr:rowOff>
    </xdr:from>
    <xdr:to>
      <xdr:col>8</xdr:col>
      <xdr:colOff>247647</xdr:colOff>
      <xdr:row>5</xdr:row>
      <xdr:rowOff>114300</xdr:rowOff>
    </xdr:to>
    <xdr:sp macro="" textlink="">
      <xdr:nvSpPr>
        <xdr:cNvPr id="45" name="Rectangle: Rounded Corners 44">
          <a:extLst>
            <a:ext uri="{FF2B5EF4-FFF2-40B4-BE49-F238E27FC236}">
              <a16:creationId xmlns:a16="http://schemas.microsoft.com/office/drawing/2014/main" id="{E00867F6-388F-124A-FC4B-BFDC6753FEC3}"/>
            </a:ext>
          </a:extLst>
        </xdr:cNvPr>
        <xdr:cNvSpPr/>
      </xdr:nvSpPr>
      <xdr:spPr>
        <a:xfrm>
          <a:off x="8562971" y="571500"/>
          <a:ext cx="1685924" cy="495300"/>
        </a:xfrm>
        <a:prstGeom prst="roundRect">
          <a:avLst/>
        </a:prstGeom>
        <a:no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xdr:colOff>
      <xdr:row>5</xdr:row>
      <xdr:rowOff>180975</xdr:rowOff>
    </xdr:from>
    <xdr:to>
      <xdr:col>16</xdr:col>
      <xdr:colOff>247650</xdr:colOff>
      <xdr:row>6</xdr:row>
      <xdr:rowOff>47625</xdr:rowOff>
    </xdr:to>
    <xdr:cxnSp macro="">
      <xdr:nvCxnSpPr>
        <xdr:cNvPr id="4" name="Straight Connector 3">
          <a:extLst>
            <a:ext uri="{FF2B5EF4-FFF2-40B4-BE49-F238E27FC236}">
              <a16:creationId xmlns:a16="http://schemas.microsoft.com/office/drawing/2014/main" id="{87C3284C-61AE-D9E5-1234-F1355CD41A66}"/>
            </a:ext>
          </a:extLst>
        </xdr:cNvPr>
        <xdr:cNvCxnSpPr/>
      </xdr:nvCxnSpPr>
      <xdr:spPr>
        <a:xfrm>
          <a:off x="9524" y="1133475"/>
          <a:ext cx="19992976" cy="5715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52386</xdr:colOff>
      <xdr:row>6</xdr:row>
      <xdr:rowOff>38100</xdr:rowOff>
    </xdr:from>
    <xdr:to>
      <xdr:col>8</xdr:col>
      <xdr:colOff>23810</xdr:colOff>
      <xdr:row>18</xdr:row>
      <xdr:rowOff>152400</xdr:rowOff>
    </xdr:to>
    <xdr:graphicFrame macro="">
      <xdr:nvGraphicFramePr>
        <xdr:cNvPr id="9" name="Chart 8">
          <a:extLst>
            <a:ext uri="{FF2B5EF4-FFF2-40B4-BE49-F238E27FC236}">
              <a16:creationId xmlns:a16="http://schemas.microsoft.com/office/drawing/2014/main" id="{DBD14021-7979-430F-820E-71FC05837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123824</xdr:colOff>
      <xdr:row>18</xdr:row>
      <xdr:rowOff>19049</xdr:rowOff>
    </xdr:from>
    <xdr:to>
      <xdr:col>3</xdr:col>
      <xdr:colOff>195262</xdr:colOff>
      <xdr:row>31</xdr:row>
      <xdr:rowOff>66674</xdr:rowOff>
    </xdr:to>
    <xdr:graphicFrame macro="">
      <xdr:nvGraphicFramePr>
        <xdr:cNvPr id="10" name="Chart 9">
          <a:extLst>
            <a:ext uri="{FF2B5EF4-FFF2-40B4-BE49-F238E27FC236}">
              <a16:creationId xmlns:a16="http://schemas.microsoft.com/office/drawing/2014/main" id="{7A4DD53B-C5E4-4A15-A974-4487EBCEB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566729</xdr:colOff>
      <xdr:row>18</xdr:row>
      <xdr:rowOff>76199</xdr:rowOff>
    </xdr:from>
    <xdr:to>
      <xdr:col>6</xdr:col>
      <xdr:colOff>423862</xdr:colOff>
      <xdr:row>31</xdr:row>
      <xdr:rowOff>76200</xdr:rowOff>
    </xdr:to>
    <xdr:graphicFrame macro="">
      <xdr:nvGraphicFramePr>
        <xdr:cNvPr id="11" name="Chart 10">
          <a:extLst>
            <a:ext uri="{FF2B5EF4-FFF2-40B4-BE49-F238E27FC236}">
              <a16:creationId xmlns:a16="http://schemas.microsoft.com/office/drawing/2014/main" id="{20B0AEA1-FBA6-4C7A-9B92-AC40C1492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369886</xdr:colOff>
      <xdr:row>18</xdr:row>
      <xdr:rowOff>111126</xdr:rowOff>
    </xdr:from>
    <xdr:to>
      <xdr:col>10</xdr:col>
      <xdr:colOff>350837</xdr:colOff>
      <xdr:row>31</xdr:row>
      <xdr:rowOff>82550</xdr:rowOff>
    </xdr:to>
    <xdr:graphicFrame macro="">
      <xdr:nvGraphicFramePr>
        <xdr:cNvPr id="12" name="Chart 11">
          <a:extLst>
            <a:ext uri="{FF2B5EF4-FFF2-40B4-BE49-F238E27FC236}">
              <a16:creationId xmlns:a16="http://schemas.microsoft.com/office/drawing/2014/main" id="{91131421-0681-4466-93F2-328810BDA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542925</xdr:colOff>
      <xdr:row>6</xdr:row>
      <xdr:rowOff>76200</xdr:rowOff>
    </xdr:from>
    <xdr:to>
      <xdr:col>10</xdr:col>
      <xdr:colOff>238125</xdr:colOff>
      <xdr:row>13</xdr:row>
      <xdr:rowOff>142875</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CCFF76DD-5F40-0893-6CF1-FB4AFD70D5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39450" y="1219200"/>
              <a:ext cx="1828800"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268286</xdr:colOff>
      <xdr:row>6</xdr:row>
      <xdr:rowOff>95250</xdr:rowOff>
    </xdr:from>
    <xdr:to>
      <xdr:col>11</xdr:col>
      <xdr:colOff>573086</xdr:colOff>
      <xdr:row>12</xdr:row>
      <xdr:rowOff>85725</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B32E44D2-EFF0-79B3-8ED7-493F3F80C2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28572" y="1238250"/>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539749</xdr:colOff>
      <xdr:row>14</xdr:row>
      <xdr:rowOff>12701</xdr:rowOff>
    </xdr:from>
    <xdr:to>
      <xdr:col>10</xdr:col>
      <xdr:colOff>234949</xdr:colOff>
      <xdr:row>18</xdr:row>
      <xdr:rowOff>127001</xdr:rowOff>
    </xdr:to>
    <mc:AlternateContent xmlns:mc="http://schemas.openxmlformats.org/markup-compatibility/2006" xmlns:a14="http://schemas.microsoft.com/office/drawing/2010/main">
      <mc:Choice Requires="a14">
        <xdr:graphicFrame macro="">
          <xdr:nvGraphicFramePr>
            <xdr:cNvPr id="18" name="Customer Type">
              <a:extLst>
                <a:ext uri="{FF2B5EF4-FFF2-40B4-BE49-F238E27FC236}">
                  <a16:creationId xmlns:a16="http://schemas.microsoft.com/office/drawing/2014/main" id="{7C1E3DC5-3D8A-12EB-6C70-4426DA7CF3B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833098" y="267970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287337</xdr:colOff>
      <xdr:row>12</xdr:row>
      <xdr:rowOff>168276</xdr:rowOff>
    </xdr:from>
    <xdr:to>
      <xdr:col>11</xdr:col>
      <xdr:colOff>592137</xdr:colOff>
      <xdr:row>28</xdr:row>
      <xdr:rowOff>127000</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E4C13E59-451C-807D-81BA-7A264F196F8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766674" y="2454276"/>
              <a:ext cx="1828800" cy="3006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4.411533449071" createdVersion="8" refreshedVersion="8" minRefreshableVersion="3" recordCount="500" xr:uid="{62671AE3-FBFC-4D48-B944-AE8D8CBCDD5B}">
  <cacheSource type="worksheet">
    <worksheetSource name="SalesData"/>
  </cacheSource>
  <cacheFields count="15">
    <cacheField name="Order ID" numFmtId="0">
      <sharedItems/>
    </cacheField>
    <cacheField name="Order Date" numFmtId="164">
      <sharedItems containsSemiMixedTypes="0" containsNonDate="0" containsDate="1" containsString="0" minDate="2024-01-01T00:00:00" maxDate="2024-10-28T00:00:00"/>
    </cacheField>
    <cacheField name="Region" numFmtId="0">
      <sharedItems count="4">
        <s v="South"/>
        <s v="North"/>
        <s v="West"/>
        <s v="East"/>
      </sharedItems>
    </cacheField>
    <cacheField name="Store" numFmtId="0">
      <sharedItems/>
    </cacheField>
    <cacheField name="Category" numFmtId="0">
      <sharedItems count="3">
        <s v="Clothing"/>
        <s v="Electronics"/>
        <s v="Furniture"/>
      </sharedItems>
    </cacheField>
    <cacheField name="Product" numFmtId="0">
      <sharedItems count="9">
        <s v="Jeans"/>
        <s v="Headphones"/>
        <s v="Jacket"/>
        <s v="Sofa"/>
        <s v="Smartphone"/>
        <s v="Laptop"/>
        <s v="Chair"/>
        <s v="Table"/>
        <s v="T-Shir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5" maxValue="1000"/>
    </cacheField>
    <cacheField name="Sales" numFmtId="0">
      <sharedItems containsSemiMixedTypes="0" containsString="0" containsNumber="1" containsInteger="1" minValue="27" maxValue="9910"/>
    </cacheField>
    <cacheField name="Cost" numFmtId="0">
      <sharedItems containsSemiMixedTypes="0" containsString="0" containsNumber="1" minValue="15.21" maxValue="7598.8"/>
    </cacheField>
    <cacheField name="Profit" numFmtId="0">
      <sharedItems containsSemiMixedTypes="0" containsString="0" containsNumber="1" minValue="10.37" maxValue="4349.74"/>
    </cacheField>
    <cacheField name="Customer Type" numFmtId="0">
      <sharedItems count="2">
        <s v="Returning"/>
        <s v="New"/>
      </sharedItems>
    </cacheField>
    <cacheField name="Payment Method" numFmtId="0">
      <sharedItems/>
    </cacheField>
    <cacheField name="Month" numFmtId="0">
      <sharedItems count="10">
        <s v="Feb-2024"/>
        <s v="Jul-2024"/>
        <s v="Oct-2024"/>
        <s v="Mar-2024"/>
        <s v="Jan-2024"/>
        <s v="Aug-2024"/>
        <s v="Apr-2024"/>
        <s v="Jun-2024"/>
        <s v="Sep-2024"/>
        <s v="May-2024"/>
      </sharedItems>
    </cacheField>
    <cacheField name="Profit Margin" numFmtId="9">
      <sharedItems containsSemiMixedTypes="0" containsString="0" containsNumber="1" minValue="0.20013996889580093" maxValue="0.49998344370860931"/>
    </cacheField>
  </cacheFields>
  <extLst>
    <ext xmlns:x14="http://schemas.microsoft.com/office/spreadsheetml/2009/9/main" uri="{725AE2AE-9491-48be-B2B4-4EB974FC3084}">
      <x14:pivotCacheDefinition pivotCacheId="1653882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d v="2024-02-02T00:00:00"/>
    <x v="0"/>
    <s v="Store B"/>
    <x v="0"/>
    <x v="0"/>
    <n v="7"/>
    <n v="807"/>
    <n v="5649"/>
    <n v="3723.78"/>
    <n v="1925.22"/>
    <x v="0"/>
    <s v="Cash"/>
    <x v="0"/>
    <n v="0.3408072225172597"/>
  </r>
  <r>
    <s v="ORD0002"/>
    <d v="2024-02-06T00:00:00"/>
    <x v="1"/>
    <s v="Store A"/>
    <x v="1"/>
    <x v="1"/>
    <n v="4"/>
    <n v="798"/>
    <n v="3192"/>
    <n v="2524.98"/>
    <n v="667.02"/>
    <x v="1"/>
    <s v="Online"/>
    <x v="0"/>
    <n v="0.20896616541353383"/>
  </r>
  <r>
    <s v="ORD0003"/>
    <d v="2024-07-30T00:00:00"/>
    <x v="0"/>
    <s v="Store D"/>
    <x v="0"/>
    <x v="2"/>
    <n v="3"/>
    <n v="209"/>
    <n v="627"/>
    <n v="491.51"/>
    <n v="135.49"/>
    <x v="0"/>
    <s v="UPI"/>
    <x v="1"/>
    <n v="0.21609250398724084"/>
  </r>
  <r>
    <s v="ORD0004"/>
    <d v="2024-10-10T00:00:00"/>
    <x v="1"/>
    <s v="Store B"/>
    <x v="0"/>
    <x v="2"/>
    <n v="4"/>
    <n v="570"/>
    <n v="2280"/>
    <n v="1318.88"/>
    <n v="961.12"/>
    <x v="0"/>
    <s v="Online"/>
    <x v="2"/>
    <n v="0.42154385964912283"/>
  </r>
  <r>
    <s v="ORD0005"/>
    <d v="2024-03-30T00:00:00"/>
    <x v="1"/>
    <s v="Store B"/>
    <x v="0"/>
    <x v="0"/>
    <n v="1"/>
    <n v="290"/>
    <n v="290"/>
    <n v="177.03"/>
    <n v="112.97"/>
    <x v="0"/>
    <s v="Online"/>
    <x v="3"/>
    <n v="0.38955172413793104"/>
  </r>
  <r>
    <s v="ORD0006"/>
    <d v="2024-01-10T00:00:00"/>
    <x v="1"/>
    <s v="Store B"/>
    <x v="2"/>
    <x v="3"/>
    <n v="5"/>
    <n v="282"/>
    <n v="1410"/>
    <n v="900.67"/>
    <n v="509.33"/>
    <x v="1"/>
    <s v="UPI"/>
    <x v="4"/>
    <n v="0.36122695035460994"/>
  </r>
  <r>
    <s v="ORD0007"/>
    <d v="2024-08-07T00:00:00"/>
    <x v="0"/>
    <s v="Store A"/>
    <x v="2"/>
    <x v="3"/>
    <n v="1"/>
    <n v="27"/>
    <n v="27"/>
    <n v="15.21"/>
    <n v="11.79"/>
    <x v="1"/>
    <s v="Online"/>
    <x v="5"/>
    <n v="0.43666666666666665"/>
  </r>
  <r>
    <s v="ORD0008"/>
    <d v="2024-04-22T00:00:00"/>
    <x v="2"/>
    <s v="Store A"/>
    <x v="1"/>
    <x v="4"/>
    <n v="2"/>
    <n v="566"/>
    <n v="1132"/>
    <n v="582.11"/>
    <n v="549.89"/>
    <x v="0"/>
    <s v="Online"/>
    <x v="6"/>
    <n v="0.48576855123674911"/>
  </r>
  <r>
    <s v="ORD0009"/>
    <d v="2024-08-04T00:00:00"/>
    <x v="3"/>
    <s v="Store C"/>
    <x v="1"/>
    <x v="5"/>
    <n v="4"/>
    <n v="617"/>
    <n v="2468"/>
    <n v="1800.63"/>
    <n v="667.37"/>
    <x v="1"/>
    <s v="Card"/>
    <x v="5"/>
    <n v="0.27040923824959484"/>
  </r>
  <r>
    <s v="ORD0010"/>
    <d v="2024-06-29T00:00:00"/>
    <x v="0"/>
    <s v="Store A"/>
    <x v="2"/>
    <x v="3"/>
    <n v="1"/>
    <n v="177"/>
    <n v="177"/>
    <n v="120.45"/>
    <n v="56.55"/>
    <x v="1"/>
    <s v="Cash"/>
    <x v="7"/>
    <n v="0.31949152542372877"/>
  </r>
  <r>
    <s v="ORD0011"/>
    <d v="2024-01-27T00:00:00"/>
    <x v="3"/>
    <s v="Store C"/>
    <x v="2"/>
    <x v="6"/>
    <n v="6"/>
    <n v="637"/>
    <n v="3822"/>
    <n v="2627.73"/>
    <n v="1194.27"/>
    <x v="1"/>
    <s v="Online"/>
    <x v="4"/>
    <n v="0.31247252747252746"/>
  </r>
  <r>
    <s v="ORD0012"/>
    <d v="2024-09-07T00:00:00"/>
    <x v="0"/>
    <s v="Store C"/>
    <x v="2"/>
    <x v="3"/>
    <n v="10"/>
    <n v="991"/>
    <n v="9910"/>
    <n v="7598.8"/>
    <n v="2311.1999999999998"/>
    <x v="0"/>
    <s v="Card"/>
    <x v="8"/>
    <n v="0.23321897073662964"/>
  </r>
  <r>
    <s v="ORD0013"/>
    <d v="2024-05-11T00:00:00"/>
    <x v="3"/>
    <s v="Store A"/>
    <x v="0"/>
    <x v="0"/>
    <n v="2"/>
    <n v="326"/>
    <n v="652"/>
    <n v="462.81"/>
    <n v="189.19"/>
    <x v="1"/>
    <s v="Card"/>
    <x v="9"/>
    <n v="0.2901687116564417"/>
  </r>
  <r>
    <s v="ORD0014"/>
    <d v="2024-05-03T00:00:00"/>
    <x v="2"/>
    <s v="Store A"/>
    <x v="1"/>
    <x v="1"/>
    <n v="7"/>
    <n v="403"/>
    <n v="2821"/>
    <n v="2043.85"/>
    <n v="777.15"/>
    <x v="0"/>
    <s v="UPI"/>
    <x v="9"/>
    <n v="0.27548741580999647"/>
  </r>
  <r>
    <s v="ORD0015"/>
    <d v="2024-03-28T00:00:00"/>
    <x v="1"/>
    <s v="Store D"/>
    <x v="1"/>
    <x v="1"/>
    <n v="1"/>
    <n v="896"/>
    <n v="896"/>
    <n v="520.92999999999995"/>
    <n v="375.07"/>
    <x v="1"/>
    <s v="Card"/>
    <x v="3"/>
    <n v="0.41860491071428568"/>
  </r>
  <r>
    <s v="ORD0016"/>
    <d v="2024-01-19T00:00:00"/>
    <x v="2"/>
    <s v="Store D"/>
    <x v="2"/>
    <x v="7"/>
    <n v="4"/>
    <n v="304"/>
    <n v="1216"/>
    <n v="784.07"/>
    <n v="431.93"/>
    <x v="0"/>
    <s v="Online"/>
    <x v="4"/>
    <n v="0.35520559210526315"/>
  </r>
  <r>
    <s v="ORD0017"/>
    <d v="2024-01-27T00:00:00"/>
    <x v="2"/>
    <s v="Store B"/>
    <x v="2"/>
    <x v="6"/>
    <n v="8"/>
    <n v="266"/>
    <n v="2128"/>
    <n v="1487.78"/>
    <n v="640.22"/>
    <x v="1"/>
    <s v="Card"/>
    <x v="4"/>
    <n v="0.30085526315789474"/>
  </r>
  <r>
    <s v="ORD0018"/>
    <d v="2024-08-02T00:00:00"/>
    <x v="3"/>
    <s v="Store A"/>
    <x v="0"/>
    <x v="2"/>
    <n v="6"/>
    <n v="518"/>
    <n v="3108"/>
    <n v="2434.62"/>
    <n v="673.38"/>
    <x v="0"/>
    <s v="UPI"/>
    <x v="5"/>
    <n v="0.21666023166023166"/>
  </r>
  <r>
    <s v="ORD0019"/>
    <d v="2024-05-09T00:00:00"/>
    <x v="2"/>
    <s v="Store C"/>
    <x v="1"/>
    <x v="1"/>
    <n v="8"/>
    <n v="839"/>
    <n v="6712"/>
    <n v="3462"/>
    <n v="3250"/>
    <x v="1"/>
    <s v="Card"/>
    <x v="9"/>
    <n v="0.48420738974970201"/>
  </r>
  <r>
    <s v="ORD0020"/>
    <d v="2024-01-06T00:00:00"/>
    <x v="2"/>
    <s v="Store D"/>
    <x v="1"/>
    <x v="1"/>
    <n v="4"/>
    <n v="302"/>
    <n v="1208"/>
    <n v="604.02"/>
    <n v="603.98"/>
    <x v="1"/>
    <s v="UPI"/>
    <x v="4"/>
    <n v="0.49998344370860931"/>
  </r>
  <r>
    <s v="ORD0021"/>
    <d v="2024-07-26T00:00:00"/>
    <x v="0"/>
    <s v="Store D"/>
    <x v="2"/>
    <x v="7"/>
    <n v="1"/>
    <n v="49"/>
    <n v="49"/>
    <n v="33.270000000000003"/>
    <n v="15.73"/>
    <x v="0"/>
    <s v="Cash"/>
    <x v="1"/>
    <n v="0.32102040816326533"/>
  </r>
  <r>
    <s v="ORD0022"/>
    <d v="2024-10-07T00:00:00"/>
    <x v="2"/>
    <s v="Store B"/>
    <x v="0"/>
    <x v="2"/>
    <n v="9"/>
    <n v="573"/>
    <n v="5157"/>
    <n v="3101.97"/>
    <n v="2055.0300000000002"/>
    <x v="0"/>
    <s v="UPI"/>
    <x v="2"/>
    <n v="0.39849331006399075"/>
  </r>
  <r>
    <s v="ORD0023"/>
    <d v="2024-06-20T00:00:00"/>
    <x v="2"/>
    <s v="Store D"/>
    <x v="1"/>
    <x v="5"/>
    <n v="4"/>
    <n v="125"/>
    <n v="500"/>
    <n v="326.42"/>
    <n v="173.58"/>
    <x v="0"/>
    <s v="UPI"/>
    <x v="7"/>
    <n v="0.34716000000000002"/>
  </r>
  <r>
    <s v="ORD0024"/>
    <d v="2024-10-10T00:00:00"/>
    <x v="0"/>
    <s v="Store B"/>
    <x v="1"/>
    <x v="4"/>
    <n v="8"/>
    <n v="657"/>
    <n v="5256"/>
    <n v="2650.75"/>
    <n v="2605.25"/>
    <x v="0"/>
    <s v="UPI"/>
    <x v="2"/>
    <n v="0.49567161339421612"/>
  </r>
  <r>
    <s v="ORD0025"/>
    <d v="2024-06-24T00:00:00"/>
    <x v="3"/>
    <s v="Store A"/>
    <x v="2"/>
    <x v="7"/>
    <n v="5"/>
    <n v="183"/>
    <n v="915"/>
    <n v="709.43"/>
    <n v="205.57"/>
    <x v="0"/>
    <s v="Online"/>
    <x v="7"/>
    <n v="0.22466666666666665"/>
  </r>
  <r>
    <s v="ORD0026"/>
    <d v="2024-01-27T00:00:00"/>
    <x v="2"/>
    <s v="Store A"/>
    <x v="0"/>
    <x v="8"/>
    <n v="8"/>
    <n v="873"/>
    <n v="6984"/>
    <n v="4072.78"/>
    <n v="2911.22"/>
    <x v="0"/>
    <s v="Cash"/>
    <x v="4"/>
    <n v="0.41684135166093927"/>
  </r>
  <r>
    <s v="ORD0027"/>
    <d v="2024-08-06T00:00:00"/>
    <x v="2"/>
    <s v="Store A"/>
    <x v="1"/>
    <x v="1"/>
    <n v="5"/>
    <n v="581"/>
    <n v="2905"/>
    <n v="2100.98"/>
    <n v="804.02"/>
    <x v="1"/>
    <s v="Cash"/>
    <x v="5"/>
    <n v="0.27677108433734937"/>
  </r>
  <r>
    <s v="ORD0028"/>
    <d v="2024-06-28T00:00:00"/>
    <x v="2"/>
    <s v="Store D"/>
    <x v="2"/>
    <x v="7"/>
    <n v="1"/>
    <n v="910"/>
    <n v="910"/>
    <n v="468.23"/>
    <n v="441.77"/>
    <x v="1"/>
    <s v="UPI"/>
    <x v="7"/>
    <n v="0.48546153846153844"/>
  </r>
  <r>
    <s v="ORD0029"/>
    <d v="2024-03-25T00:00:00"/>
    <x v="1"/>
    <s v="Store B"/>
    <x v="1"/>
    <x v="4"/>
    <n v="4"/>
    <n v="509"/>
    <n v="2036"/>
    <n v="1366.57"/>
    <n v="669.43"/>
    <x v="1"/>
    <s v="Card"/>
    <x v="3"/>
    <n v="0.32879666011787817"/>
  </r>
  <r>
    <s v="ORD0030"/>
    <d v="2024-10-11T00:00:00"/>
    <x v="0"/>
    <s v="Store C"/>
    <x v="1"/>
    <x v="4"/>
    <n v="4"/>
    <n v="559"/>
    <n v="2236"/>
    <n v="1313.47"/>
    <n v="922.53"/>
    <x v="0"/>
    <s v="UPI"/>
    <x v="2"/>
    <n v="0.41258050089445436"/>
  </r>
  <r>
    <s v="ORD0031"/>
    <d v="2024-03-18T00:00:00"/>
    <x v="3"/>
    <s v="Store C"/>
    <x v="1"/>
    <x v="1"/>
    <n v="5"/>
    <n v="83"/>
    <n v="415"/>
    <n v="248.96"/>
    <n v="166.04"/>
    <x v="0"/>
    <s v="UPI"/>
    <x v="3"/>
    <n v="0.40009638554216864"/>
  </r>
  <r>
    <s v="ORD0032"/>
    <d v="2024-03-29T00:00:00"/>
    <x v="1"/>
    <s v="Store A"/>
    <x v="2"/>
    <x v="7"/>
    <n v="1"/>
    <n v="897"/>
    <n v="897"/>
    <n v="689.2"/>
    <n v="207.8"/>
    <x v="0"/>
    <s v="Cash"/>
    <x v="3"/>
    <n v="0.23166109253065775"/>
  </r>
  <r>
    <s v="ORD0033"/>
    <d v="2024-07-01T00:00:00"/>
    <x v="0"/>
    <s v="Store A"/>
    <x v="1"/>
    <x v="1"/>
    <n v="4"/>
    <n v="739"/>
    <n v="2956"/>
    <n v="1872.9"/>
    <n v="1083.0999999999999"/>
    <x v="1"/>
    <s v="Cash"/>
    <x v="1"/>
    <n v="0.36640730717185382"/>
  </r>
  <r>
    <s v="ORD0034"/>
    <d v="2024-06-23T00:00:00"/>
    <x v="0"/>
    <s v="Store D"/>
    <x v="1"/>
    <x v="5"/>
    <n v="6"/>
    <n v="737"/>
    <n v="4422"/>
    <n v="2547.29"/>
    <n v="1874.71"/>
    <x v="0"/>
    <s v="UPI"/>
    <x v="7"/>
    <n v="0.42395070104025329"/>
  </r>
  <r>
    <s v="ORD0035"/>
    <d v="2024-03-13T00:00:00"/>
    <x v="0"/>
    <s v="Store B"/>
    <x v="0"/>
    <x v="2"/>
    <n v="3"/>
    <n v="625"/>
    <n v="1875"/>
    <n v="1324.98"/>
    <n v="550.02"/>
    <x v="0"/>
    <s v="Card"/>
    <x v="3"/>
    <n v="0.29334399999999999"/>
  </r>
  <r>
    <s v="ORD0036"/>
    <d v="2024-06-29T00:00:00"/>
    <x v="3"/>
    <s v="Store A"/>
    <x v="0"/>
    <x v="2"/>
    <n v="5"/>
    <n v="452"/>
    <n v="2260"/>
    <n v="1537.07"/>
    <n v="722.93"/>
    <x v="0"/>
    <s v="Card"/>
    <x v="7"/>
    <n v="0.31988053097345132"/>
  </r>
  <r>
    <s v="ORD0037"/>
    <d v="2024-10-10T00:00:00"/>
    <x v="0"/>
    <s v="Store D"/>
    <x v="2"/>
    <x v="6"/>
    <n v="10"/>
    <n v="594"/>
    <n v="5940"/>
    <n v="3677.21"/>
    <n v="2262.79"/>
    <x v="1"/>
    <s v="Cash"/>
    <x v="2"/>
    <n v="0.38094107744107741"/>
  </r>
  <r>
    <s v="ORD0038"/>
    <d v="2024-10-18T00:00:00"/>
    <x v="0"/>
    <s v="Store C"/>
    <x v="2"/>
    <x v="6"/>
    <n v="10"/>
    <n v="532"/>
    <n v="5320"/>
    <n v="3634.72"/>
    <n v="1685.28"/>
    <x v="1"/>
    <s v="UPI"/>
    <x v="2"/>
    <n v="0.31678195488721805"/>
  </r>
  <r>
    <s v="ORD0039"/>
    <d v="2024-04-28T00:00:00"/>
    <x v="1"/>
    <s v="Store C"/>
    <x v="0"/>
    <x v="8"/>
    <n v="1"/>
    <n v="153"/>
    <n v="153"/>
    <n v="80.88"/>
    <n v="72.12"/>
    <x v="1"/>
    <s v="Online"/>
    <x v="6"/>
    <n v="0.4713725490196079"/>
  </r>
  <r>
    <s v="ORD0040"/>
    <d v="2024-05-27T00:00:00"/>
    <x v="0"/>
    <s v="Store C"/>
    <x v="1"/>
    <x v="1"/>
    <n v="6"/>
    <n v="582"/>
    <n v="3492"/>
    <n v="1763.57"/>
    <n v="1728.43"/>
    <x v="0"/>
    <s v="Cash"/>
    <x v="9"/>
    <n v="0.49496849942726234"/>
  </r>
  <r>
    <s v="ORD0041"/>
    <d v="2024-06-06T00:00:00"/>
    <x v="3"/>
    <s v="Store C"/>
    <x v="0"/>
    <x v="0"/>
    <n v="4"/>
    <n v="233"/>
    <n v="932"/>
    <n v="513.75"/>
    <n v="418.25"/>
    <x v="0"/>
    <s v="UPI"/>
    <x v="7"/>
    <n v="0.44876609442060084"/>
  </r>
  <r>
    <s v="ORD0042"/>
    <d v="2024-03-31T00:00:00"/>
    <x v="3"/>
    <s v="Store B"/>
    <x v="0"/>
    <x v="8"/>
    <n v="1"/>
    <n v="541"/>
    <n v="541"/>
    <n v="322.38"/>
    <n v="218.62"/>
    <x v="1"/>
    <s v="Card"/>
    <x v="3"/>
    <n v="0.40410351201478745"/>
  </r>
  <r>
    <s v="ORD0043"/>
    <d v="2024-09-25T00:00:00"/>
    <x v="2"/>
    <s v="Store A"/>
    <x v="0"/>
    <x v="0"/>
    <n v="8"/>
    <n v="831"/>
    <n v="6648"/>
    <n v="4129.49"/>
    <n v="2518.5100000000002"/>
    <x v="0"/>
    <s v="Card"/>
    <x v="8"/>
    <n v="0.37883724428399523"/>
  </r>
  <r>
    <s v="ORD0044"/>
    <d v="2024-01-16T00:00:00"/>
    <x v="1"/>
    <s v="Store C"/>
    <x v="1"/>
    <x v="1"/>
    <n v="7"/>
    <n v="70"/>
    <n v="490"/>
    <n v="246.42"/>
    <n v="243.58"/>
    <x v="1"/>
    <s v="UPI"/>
    <x v="4"/>
    <n v="0.49710204081632653"/>
  </r>
  <r>
    <s v="ORD0045"/>
    <d v="2024-01-02T00:00:00"/>
    <x v="0"/>
    <s v="Store A"/>
    <x v="0"/>
    <x v="2"/>
    <n v="3"/>
    <n v="526"/>
    <n v="1578"/>
    <n v="860.34"/>
    <n v="717.66"/>
    <x v="0"/>
    <s v="Cash"/>
    <x v="4"/>
    <n v="0.45479087452471478"/>
  </r>
  <r>
    <s v="ORD0046"/>
    <d v="2024-05-04T00:00:00"/>
    <x v="3"/>
    <s v="Store C"/>
    <x v="2"/>
    <x v="6"/>
    <n v="6"/>
    <n v="842"/>
    <n v="5052"/>
    <n v="3084.04"/>
    <n v="1967.96"/>
    <x v="0"/>
    <s v="Card"/>
    <x v="9"/>
    <n v="0.38954077593032466"/>
  </r>
  <r>
    <s v="ORD0047"/>
    <d v="2024-09-01T00:00:00"/>
    <x v="2"/>
    <s v="Store D"/>
    <x v="2"/>
    <x v="7"/>
    <n v="5"/>
    <n v="426"/>
    <n v="2130"/>
    <n v="1379.99"/>
    <n v="750.01"/>
    <x v="0"/>
    <s v="UPI"/>
    <x v="8"/>
    <n v="0.35211737089201878"/>
  </r>
  <r>
    <s v="ORD0048"/>
    <d v="2024-01-25T00:00:00"/>
    <x v="2"/>
    <s v="Store A"/>
    <x v="1"/>
    <x v="1"/>
    <n v="2"/>
    <n v="945"/>
    <n v="1890"/>
    <n v="1130.55"/>
    <n v="759.45"/>
    <x v="0"/>
    <s v="Cash"/>
    <x v="4"/>
    <n v="0.40182539682539686"/>
  </r>
  <r>
    <s v="ORD0049"/>
    <d v="2024-10-21T00:00:00"/>
    <x v="0"/>
    <s v="Store C"/>
    <x v="0"/>
    <x v="0"/>
    <n v="10"/>
    <n v="171"/>
    <n v="1710"/>
    <n v="957.54"/>
    <n v="752.46"/>
    <x v="1"/>
    <s v="Card"/>
    <x v="2"/>
    <n v="0.44003508771929828"/>
  </r>
  <r>
    <s v="ORD0050"/>
    <d v="2024-03-31T00:00:00"/>
    <x v="3"/>
    <s v="Store C"/>
    <x v="2"/>
    <x v="3"/>
    <n v="7"/>
    <n v="629"/>
    <n v="4403"/>
    <n v="2965.67"/>
    <n v="1437.33"/>
    <x v="1"/>
    <s v="UPI"/>
    <x v="3"/>
    <n v="0.32644333409039289"/>
  </r>
  <r>
    <s v="ORD0051"/>
    <d v="2024-08-03T00:00:00"/>
    <x v="2"/>
    <s v="Store D"/>
    <x v="2"/>
    <x v="3"/>
    <n v="4"/>
    <n v="798"/>
    <n v="3192"/>
    <n v="2449.89"/>
    <n v="742.11"/>
    <x v="0"/>
    <s v="Card"/>
    <x v="5"/>
    <n v="0.23249060150375941"/>
  </r>
  <r>
    <s v="ORD0052"/>
    <d v="2024-07-14T00:00:00"/>
    <x v="0"/>
    <s v="Store A"/>
    <x v="0"/>
    <x v="2"/>
    <n v="10"/>
    <n v="850"/>
    <n v="8500"/>
    <n v="4535.6000000000004"/>
    <n v="3964.4"/>
    <x v="0"/>
    <s v="Cash"/>
    <x v="1"/>
    <n v="0.46640000000000004"/>
  </r>
  <r>
    <s v="ORD0053"/>
    <d v="2024-09-09T00:00:00"/>
    <x v="1"/>
    <s v="Store B"/>
    <x v="2"/>
    <x v="7"/>
    <n v="5"/>
    <n v="580"/>
    <n v="2900"/>
    <n v="1507.94"/>
    <n v="1392.06"/>
    <x v="1"/>
    <s v="Online"/>
    <x v="8"/>
    <n v="0.48002068965517242"/>
  </r>
  <r>
    <s v="ORD0054"/>
    <d v="2024-10-14T00:00:00"/>
    <x v="3"/>
    <s v="Store D"/>
    <x v="0"/>
    <x v="8"/>
    <n v="6"/>
    <n v="489"/>
    <n v="2934"/>
    <n v="2039.85"/>
    <n v="894.15"/>
    <x v="1"/>
    <s v="Card"/>
    <x v="2"/>
    <n v="0.30475460122699388"/>
  </r>
  <r>
    <s v="ORD0055"/>
    <d v="2024-09-24T00:00:00"/>
    <x v="2"/>
    <s v="Store C"/>
    <x v="1"/>
    <x v="5"/>
    <n v="10"/>
    <n v="578"/>
    <n v="5780"/>
    <n v="4190.95"/>
    <n v="1589.05"/>
    <x v="0"/>
    <s v="Cash"/>
    <x v="8"/>
    <n v="0.27492214532871972"/>
  </r>
  <r>
    <s v="ORD0056"/>
    <d v="2024-03-12T00:00:00"/>
    <x v="0"/>
    <s v="Store D"/>
    <x v="2"/>
    <x v="6"/>
    <n v="10"/>
    <n v="737"/>
    <n v="7370"/>
    <n v="5349.17"/>
    <n v="2020.83"/>
    <x v="1"/>
    <s v="Online"/>
    <x v="3"/>
    <n v="0.27419674355495249"/>
  </r>
  <r>
    <s v="ORD0057"/>
    <d v="2024-01-23T00:00:00"/>
    <x v="3"/>
    <s v="Store A"/>
    <x v="0"/>
    <x v="0"/>
    <n v="10"/>
    <n v="626"/>
    <n v="6260"/>
    <n v="3933.15"/>
    <n v="2326.85"/>
    <x v="1"/>
    <s v="UPI"/>
    <x v="4"/>
    <n v="0.37170127795527153"/>
  </r>
  <r>
    <s v="ORD0058"/>
    <d v="2024-04-21T00:00:00"/>
    <x v="3"/>
    <s v="Store B"/>
    <x v="0"/>
    <x v="0"/>
    <n v="3"/>
    <n v="817"/>
    <n v="2451"/>
    <n v="1845.94"/>
    <n v="605.05999999999995"/>
    <x v="0"/>
    <s v="UPI"/>
    <x v="6"/>
    <n v="0.24686250509995919"/>
  </r>
  <r>
    <s v="ORD0059"/>
    <d v="2024-02-19T00:00:00"/>
    <x v="3"/>
    <s v="Store B"/>
    <x v="1"/>
    <x v="1"/>
    <n v="5"/>
    <n v="65"/>
    <n v="325"/>
    <n v="172.69"/>
    <n v="152.31"/>
    <x v="1"/>
    <s v="Online"/>
    <x v="0"/>
    <n v="0.46864615384615388"/>
  </r>
  <r>
    <s v="ORD0060"/>
    <d v="2024-09-11T00:00:00"/>
    <x v="1"/>
    <s v="Store D"/>
    <x v="2"/>
    <x v="7"/>
    <n v="3"/>
    <n v="59"/>
    <n v="177"/>
    <n v="104.36"/>
    <n v="72.64"/>
    <x v="1"/>
    <s v="Cash"/>
    <x v="8"/>
    <n v="0.41039548022598871"/>
  </r>
  <r>
    <s v="ORD0061"/>
    <d v="2024-03-13T00:00:00"/>
    <x v="3"/>
    <s v="Store D"/>
    <x v="2"/>
    <x v="3"/>
    <n v="5"/>
    <n v="332"/>
    <n v="1660"/>
    <n v="1127.02"/>
    <n v="532.98"/>
    <x v="1"/>
    <s v="Cash"/>
    <x v="3"/>
    <n v="0.3210722891566265"/>
  </r>
  <r>
    <s v="ORD0062"/>
    <d v="2024-10-19T00:00:00"/>
    <x v="1"/>
    <s v="Store D"/>
    <x v="2"/>
    <x v="7"/>
    <n v="6"/>
    <n v="406"/>
    <n v="2436"/>
    <n v="1848.85"/>
    <n v="587.15"/>
    <x v="0"/>
    <s v="Card"/>
    <x v="2"/>
    <n v="0.2410303776683087"/>
  </r>
  <r>
    <s v="ORD0063"/>
    <d v="2024-05-26T00:00:00"/>
    <x v="0"/>
    <s v="Store D"/>
    <x v="1"/>
    <x v="4"/>
    <n v="1"/>
    <n v="707"/>
    <n v="707"/>
    <n v="518.64"/>
    <n v="188.36"/>
    <x v="1"/>
    <s v="Online"/>
    <x v="9"/>
    <n v="0.26642149929278647"/>
  </r>
  <r>
    <s v="ORD0064"/>
    <d v="2024-08-24T00:00:00"/>
    <x v="2"/>
    <s v="Store B"/>
    <x v="1"/>
    <x v="4"/>
    <n v="10"/>
    <n v="977"/>
    <n v="9770"/>
    <n v="6580.48"/>
    <n v="3189.52"/>
    <x v="1"/>
    <s v="UPI"/>
    <x v="5"/>
    <n v="0.32646059365404301"/>
  </r>
  <r>
    <s v="ORD0065"/>
    <d v="2024-02-28T00:00:00"/>
    <x v="1"/>
    <s v="Store A"/>
    <x v="1"/>
    <x v="4"/>
    <n v="1"/>
    <n v="643"/>
    <n v="643"/>
    <n v="514.30999999999995"/>
    <n v="128.69"/>
    <x v="0"/>
    <s v="Card"/>
    <x v="0"/>
    <n v="0.20013996889580093"/>
  </r>
  <r>
    <s v="ORD0066"/>
    <d v="2024-01-30T00:00:00"/>
    <x v="0"/>
    <s v="Store A"/>
    <x v="0"/>
    <x v="2"/>
    <n v="5"/>
    <n v="866"/>
    <n v="4330"/>
    <n v="2499"/>
    <n v="1831"/>
    <x v="0"/>
    <s v="Cash"/>
    <x v="4"/>
    <n v="0.42286374133949189"/>
  </r>
  <r>
    <s v="ORD0067"/>
    <d v="2024-05-22T00:00:00"/>
    <x v="2"/>
    <s v="Store B"/>
    <x v="0"/>
    <x v="2"/>
    <n v="4"/>
    <n v="627"/>
    <n v="2508"/>
    <n v="1493.69"/>
    <n v="1014.31"/>
    <x v="1"/>
    <s v="Card"/>
    <x v="9"/>
    <n v="0.40442982456140347"/>
  </r>
  <r>
    <s v="ORD0068"/>
    <d v="2024-07-12T00:00:00"/>
    <x v="1"/>
    <s v="Store A"/>
    <x v="0"/>
    <x v="2"/>
    <n v="1"/>
    <n v="483"/>
    <n v="483"/>
    <n v="309.45"/>
    <n v="173.55"/>
    <x v="1"/>
    <s v="Cash"/>
    <x v="1"/>
    <n v="0.35931677018633545"/>
  </r>
  <r>
    <s v="ORD0069"/>
    <d v="2024-10-22T00:00:00"/>
    <x v="2"/>
    <s v="Store B"/>
    <x v="2"/>
    <x v="6"/>
    <n v="9"/>
    <n v="934"/>
    <n v="8406"/>
    <n v="4557.83"/>
    <n v="3848.17"/>
    <x v="0"/>
    <s v="UPI"/>
    <x v="2"/>
    <n v="0.45778848441589343"/>
  </r>
  <r>
    <s v="ORD0070"/>
    <d v="2024-01-24T00:00:00"/>
    <x v="1"/>
    <s v="Store A"/>
    <x v="1"/>
    <x v="5"/>
    <n v="6"/>
    <n v="204"/>
    <n v="1224"/>
    <n v="864.33"/>
    <n v="359.67"/>
    <x v="0"/>
    <s v="Card"/>
    <x v="4"/>
    <n v="0.29384803921568631"/>
  </r>
  <r>
    <s v="ORD0071"/>
    <d v="2024-03-27T00:00:00"/>
    <x v="2"/>
    <s v="Store C"/>
    <x v="1"/>
    <x v="4"/>
    <n v="9"/>
    <n v="480"/>
    <n v="4320"/>
    <n v="2821.31"/>
    <n v="1498.69"/>
    <x v="0"/>
    <s v="Online"/>
    <x v="3"/>
    <n v="0.34691898148148148"/>
  </r>
  <r>
    <s v="ORD0072"/>
    <d v="2024-02-29T00:00:00"/>
    <x v="3"/>
    <s v="Store A"/>
    <x v="1"/>
    <x v="5"/>
    <n v="9"/>
    <n v="191"/>
    <n v="1719"/>
    <n v="1274.33"/>
    <n v="444.67"/>
    <x v="0"/>
    <s v="UPI"/>
    <x v="0"/>
    <n v="0.25867946480511927"/>
  </r>
  <r>
    <s v="ORD0073"/>
    <d v="2024-07-21T00:00:00"/>
    <x v="1"/>
    <s v="Store B"/>
    <x v="2"/>
    <x v="6"/>
    <n v="4"/>
    <n v="757"/>
    <n v="3028"/>
    <n v="2393.88"/>
    <n v="634.12"/>
    <x v="1"/>
    <s v="Cash"/>
    <x v="1"/>
    <n v="0.20941875825627476"/>
  </r>
  <r>
    <s v="ORD0074"/>
    <d v="2024-05-22T00:00:00"/>
    <x v="3"/>
    <s v="Store B"/>
    <x v="0"/>
    <x v="2"/>
    <n v="1"/>
    <n v="941"/>
    <n v="941"/>
    <n v="713.82"/>
    <n v="227.18"/>
    <x v="0"/>
    <s v="Online"/>
    <x v="9"/>
    <n v="0.24142401700318811"/>
  </r>
  <r>
    <s v="ORD0075"/>
    <d v="2024-09-11T00:00:00"/>
    <x v="2"/>
    <s v="Store B"/>
    <x v="0"/>
    <x v="2"/>
    <n v="8"/>
    <n v="57"/>
    <n v="456"/>
    <n v="339.08"/>
    <n v="116.92"/>
    <x v="0"/>
    <s v="UPI"/>
    <x v="8"/>
    <n v="0.25640350877192986"/>
  </r>
  <r>
    <s v="ORD0076"/>
    <d v="2024-10-13T00:00:00"/>
    <x v="0"/>
    <s v="Store D"/>
    <x v="2"/>
    <x v="3"/>
    <n v="9"/>
    <n v="161"/>
    <n v="1449"/>
    <n v="797.34"/>
    <n v="651.66"/>
    <x v="1"/>
    <s v="Card"/>
    <x v="2"/>
    <n v="0.44973084886128362"/>
  </r>
  <r>
    <s v="ORD0077"/>
    <d v="2024-10-05T00:00:00"/>
    <x v="0"/>
    <s v="Store D"/>
    <x v="0"/>
    <x v="2"/>
    <n v="8"/>
    <n v="878"/>
    <n v="7024"/>
    <n v="3518.34"/>
    <n v="3505.66"/>
    <x v="1"/>
    <s v="Card"/>
    <x v="2"/>
    <n v="0.49909738041002277"/>
  </r>
  <r>
    <s v="ORD0078"/>
    <d v="2024-08-09T00:00:00"/>
    <x v="1"/>
    <s v="Store D"/>
    <x v="0"/>
    <x v="2"/>
    <n v="1"/>
    <n v="539"/>
    <n v="539"/>
    <n v="278.37"/>
    <n v="260.63"/>
    <x v="0"/>
    <s v="Online"/>
    <x v="5"/>
    <n v="0.48354359925788498"/>
  </r>
  <r>
    <s v="ORD0079"/>
    <d v="2024-06-04T00:00:00"/>
    <x v="1"/>
    <s v="Store D"/>
    <x v="2"/>
    <x v="3"/>
    <n v="5"/>
    <n v="236"/>
    <n v="1180"/>
    <n v="916.67"/>
    <n v="263.33"/>
    <x v="0"/>
    <s v="Card"/>
    <x v="7"/>
    <n v="0.22316101694915252"/>
  </r>
  <r>
    <s v="ORD0080"/>
    <d v="2024-08-16T00:00:00"/>
    <x v="1"/>
    <s v="Store A"/>
    <x v="2"/>
    <x v="6"/>
    <n v="3"/>
    <n v="85"/>
    <n v="255"/>
    <n v="187.73"/>
    <n v="67.27"/>
    <x v="0"/>
    <s v="Cash"/>
    <x v="5"/>
    <n v="0.26380392156862742"/>
  </r>
  <r>
    <s v="ORD0081"/>
    <d v="2024-07-17T00:00:00"/>
    <x v="1"/>
    <s v="Store B"/>
    <x v="1"/>
    <x v="1"/>
    <n v="1"/>
    <n v="427"/>
    <n v="427"/>
    <n v="259.82"/>
    <n v="167.18"/>
    <x v="0"/>
    <s v="Cash"/>
    <x v="1"/>
    <n v="0.39152224824355975"/>
  </r>
  <r>
    <s v="ORD0082"/>
    <d v="2024-03-21T00:00:00"/>
    <x v="1"/>
    <s v="Store C"/>
    <x v="1"/>
    <x v="5"/>
    <n v="9"/>
    <n v="289"/>
    <n v="2601"/>
    <n v="1648.3"/>
    <n v="952.7"/>
    <x v="0"/>
    <s v="Cash"/>
    <x v="3"/>
    <n v="0.36628219915417148"/>
  </r>
  <r>
    <s v="ORD0083"/>
    <d v="2024-10-17T00:00:00"/>
    <x v="3"/>
    <s v="Store B"/>
    <x v="1"/>
    <x v="4"/>
    <n v="8"/>
    <n v="314"/>
    <n v="2512"/>
    <n v="1281.32"/>
    <n v="1230.68"/>
    <x v="0"/>
    <s v="UPI"/>
    <x v="2"/>
    <n v="0.48992038216560513"/>
  </r>
  <r>
    <s v="ORD0084"/>
    <d v="2024-04-18T00:00:00"/>
    <x v="3"/>
    <s v="Store C"/>
    <x v="0"/>
    <x v="2"/>
    <n v="4"/>
    <n v="357"/>
    <n v="1428"/>
    <n v="1041.97"/>
    <n v="386.03"/>
    <x v="1"/>
    <s v="UPI"/>
    <x v="6"/>
    <n v="0.27032913165266104"/>
  </r>
  <r>
    <s v="ORD0085"/>
    <d v="2024-01-19T00:00:00"/>
    <x v="0"/>
    <s v="Store D"/>
    <x v="2"/>
    <x v="3"/>
    <n v="4"/>
    <n v="563"/>
    <n v="2252"/>
    <n v="1566.93"/>
    <n v="685.07"/>
    <x v="1"/>
    <s v="UPI"/>
    <x v="4"/>
    <n v="0.30420515097690942"/>
  </r>
  <r>
    <s v="ORD0086"/>
    <d v="2024-06-26T00:00:00"/>
    <x v="1"/>
    <s v="Store D"/>
    <x v="0"/>
    <x v="0"/>
    <n v="5"/>
    <n v="747"/>
    <n v="3735"/>
    <n v="1924.71"/>
    <n v="1810.29"/>
    <x v="0"/>
    <s v="Online"/>
    <x v="7"/>
    <n v="0.48468273092369479"/>
  </r>
  <r>
    <s v="ORD0087"/>
    <d v="2024-07-11T00:00:00"/>
    <x v="2"/>
    <s v="Store B"/>
    <x v="1"/>
    <x v="1"/>
    <n v="4"/>
    <n v="375"/>
    <n v="1500"/>
    <n v="1068.6300000000001"/>
    <n v="431.37"/>
    <x v="0"/>
    <s v="UPI"/>
    <x v="1"/>
    <n v="0.28758"/>
  </r>
  <r>
    <s v="ORD0088"/>
    <d v="2024-06-09T00:00:00"/>
    <x v="1"/>
    <s v="Store C"/>
    <x v="0"/>
    <x v="8"/>
    <n v="1"/>
    <n v="613"/>
    <n v="613"/>
    <n v="443.31"/>
    <n v="169.69"/>
    <x v="1"/>
    <s v="Card"/>
    <x v="7"/>
    <n v="0.27681892332789559"/>
  </r>
  <r>
    <s v="ORD0089"/>
    <d v="2024-04-21T00:00:00"/>
    <x v="3"/>
    <s v="Store D"/>
    <x v="1"/>
    <x v="1"/>
    <n v="3"/>
    <n v="537"/>
    <n v="1611"/>
    <n v="1098.8399999999999"/>
    <n v="512.16"/>
    <x v="0"/>
    <s v="UPI"/>
    <x v="6"/>
    <n v="0.31791433891992549"/>
  </r>
  <r>
    <s v="ORD0090"/>
    <d v="2024-05-20T00:00:00"/>
    <x v="1"/>
    <s v="Store B"/>
    <x v="2"/>
    <x v="7"/>
    <n v="2"/>
    <n v="783"/>
    <n v="1566"/>
    <n v="989.09"/>
    <n v="576.91"/>
    <x v="1"/>
    <s v="Cash"/>
    <x v="9"/>
    <n v="0.36839719029374202"/>
  </r>
  <r>
    <s v="ORD0091"/>
    <d v="2024-06-30T00:00:00"/>
    <x v="0"/>
    <s v="Store A"/>
    <x v="1"/>
    <x v="5"/>
    <n v="8"/>
    <n v="302"/>
    <n v="2416"/>
    <n v="1378.98"/>
    <n v="1037.02"/>
    <x v="0"/>
    <s v="Card"/>
    <x v="7"/>
    <n v="0.42923013245033109"/>
  </r>
  <r>
    <s v="ORD0092"/>
    <d v="2024-08-07T00:00:00"/>
    <x v="1"/>
    <s v="Store D"/>
    <x v="1"/>
    <x v="5"/>
    <n v="3"/>
    <n v="594"/>
    <n v="1782"/>
    <n v="1202.06"/>
    <n v="579.94000000000005"/>
    <x v="0"/>
    <s v="Online"/>
    <x v="5"/>
    <n v="0.32544332210998883"/>
  </r>
  <r>
    <s v="ORD0093"/>
    <d v="2024-09-14T00:00:00"/>
    <x v="3"/>
    <s v="Store C"/>
    <x v="0"/>
    <x v="2"/>
    <n v="5"/>
    <n v="165"/>
    <n v="825"/>
    <n v="558.65"/>
    <n v="266.35000000000002"/>
    <x v="1"/>
    <s v="Card"/>
    <x v="8"/>
    <n v="0.32284848484848488"/>
  </r>
  <r>
    <s v="ORD0094"/>
    <d v="2024-06-10T00:00:00"/>
    <x v="1"/>
    <s v="Store B"/>
    <x v="2"/>
    <x v="6"/>
    <n v="2"/>
    <n v="616"/>
    <n v="1232"/>
    <n v="670.82"/>
    <n v="561.17999999999995"/>
    <x v="0"/>
    <s v="Online"/>
    <x v="7"/>
    <n v="0.45550324675324672"/>
  </r>
  <r>
    <s v="ORD0095"/>
    <d v="2024-02-13T00:00:00"/>
    <x v="1"/>
    <s v="Store D"/>
    <x v="2"/>
    <x v="3"/>
    <n v="3"/>
    <n v="590"/>
    <n v="1770"/>
    <n v="1324.95"/>
    <n v="445.05"/>
    <x v="0"/>
    <s v="Cash"/>
    <x v="0"/>
    <n v="0.2514406779661017"/>
  </r>
  <r>
    <s v="ORD0096"/>
    <d v="2024-10-21T00:00:00"/>
    <x v="0"/>
    <s v="Store A"/>
    <x v="2"/>
    <x v="7"/>
    <n v="4"/>
    <n v="194"/>
    <n v="776"/>
    <n v="422.95"/>
    <n v="353.05"/>
    <x v="0"/>
    <s v="Card"/>
    <x v="2"/>
    <n v="0.45496134020618556"/>
  </r>
  <r>
    <s v="ORD0097"/>
    <d v="2024-09-11T00:00:00"/>
    <x v="2"/>
    <s v="Store D"/>
    <x v="1"/>
    <x v="1"/>
    <n v="7"/>
    <n v="162"/>
    <n v="1134"/>
    <n v="730.61"/>
    <n v="403.39"/>
    <x v="0"/>
    <s v="Card"/>
    <x v="8"/>
    <n v="0.35572310405643737"/>
  </r>
  <r>
    <s v="ORD0098"/>
    <d v="2024-03-07T00:00:00"/>
    <x v="2"/>
    <s v="Store B"/>
    <x v="0"/>
    <x v="0"/>
    <n v="8"/>
    <n v="509"/>
    <n v="4072"/>
    <n v="3193.56"/>
    <n v="878.44"/>
    <x v="1"/>
    <s v="UPI"/>
    <x v="3"/>
    <n v="0.2157269155206287"/>
  </r>
  <r>
    <s v="ORD0099"/>
    <d v="2024-09-19T00:00:00"/>
    <x v="3"/>
    <s v="Store D"/>
    <x v="0"/>
    <x v="0"/>
    <n v="6"/>
    <n v="332"/>
    <n v="1992"/>
    <n v="1440.89"/>
    <n v="551.11"/>
    <x v="1"/>
    <s v="Online"/>
    <x v="8"/>
    <n v="0.2766616465863454"/>
  </r>
  <r>
    <s v="ORD0100"/>
    <d v="2024-05-19T00:00:00"/>
    <x v="0"/>
    <s v="Store D"/>
    <x v="1"/>
    <x v="1"/>
    <n v="6"/>
    <n v="708"/>
    <n v="4248"/>
    <n v="3352.67"/>
    <n v="895.33"/>
    <x v="0"/>
    <s v="UPI"/>
    <x v="9"/>
    <n v="0.21076506591337102"/>
  </r>
  <r>
    <s v="ORD0101"/>
    <d v="2024-06-09T00:00:00"/>
    <x v="0"/>
    <s v="Store C"/>
    <x v="1"/>
    <x v="1"/>
    <n v="9"/>
    <n v="574"/>
    <n v="5166"/>
    <n v="3187.28"/>
    <n v="1978.72"/>
    <x v="0"/>
    <s v="Online"/>
    <x v="7"/>
    <n v="0.38302748741773135"/>
  </r>
  <r>
    <s v="ORD0102"/>
    <d v="2024-10-11T00:00:00"/>
    <x v="2"/>
    <s v="Store A"/>
    <x v="0"/>
    <x v="2"/>
    <n v="6"/>
    <n v="352"/>
    <n v="2112"/>
    <n v="1546.05"/>
    <n v="565.95000000000005"/>
    <x v="1"/>
    <s v="Card"/>
    <x v="2"/>
    <n v="0.26796875000000003"/>
  </r>
  <r>
    <s v="ORD0103"/>
    <d v="2024-04-25T00:00:00"/>
    <x v="0"/>
    <s v="Store A"/>
    <x v="0"/>
    <x v="0"/>
    <n v="8"/>
    <n v="682"/>
    <n v="5456"/>
    <n v="2857.89"/>
    <n v="2598.11"/>
    <x v="1"/>
    <s v="Cash"/>
    <x v="6"/>
    <n v="0.47619318181818182"/>
  </r>
  <r>
    <s v="ORD0104"/>
    <d v="2024-07-07T00:00:00"/>
    <x v="0"/>
    <s v="Store D"/>
    <x v="2"/>
    <x v="7"/>
    <n v="5"/>
    <n v="483"/>
    <n v="2415"/>
    <n v="1412"/>
    <n v="1003"/>
    <x v="0"/>
    <s v="UPI"/>
    <x v="1"/>
    <n v="0.41532091097308488"/>
  </r>
  <r>
    <s v="ORD0105"/>
    <d v="2024-02-06T00:00:00"/>
    <x v="3"/>
    <s v="Store B"/>
    <x v="0"/>
    <x v="2"/>
    <n v="3"/>
    <n v="751"/>
    <n v="2253"/>
    <n v="1246.31"/>
    <n v="1006.69"/>
    <x v="0"/>
    <s v="Online"/>
    <x v="0"/>
    <n v="0.44682201509098979"/>
  </r>
  <r>
    <s v="ORD0106"/>
    <d v="2024-06-04T00:00:00"/>
    <x v="2"/>
    <s v="Store D"/>
    <x v="0"/>
    <x v="8"/>
    <n v="10"/>
    <n v="164"/>
    <n v="1640"/>
    <n v="982.17"/>
    <n v="657.83"/>
    <x v="1"/>
    <s v="Cash"/>
    <x v="7"/>
    <n v="0.40111585365853664"/>
  </r>
  <r>
    <s v="ORD0107"/>
    <d v="2024-10-23T00:00:00"/>
    <x v="1"/>
    <s v="Store C"/>
    <x v="2"/>
    <x v="7"/>
    <n v="8"/>
    <n v="831"/>
    <n v="6648"/>
    <n v="4974.46"/>
    <n v="1673.54"/>
    <x v="1"/>
    <s v="Card"/>
    <x v="2"/>
    <n v="0.25173586040914558"/>
  </r>
  <r>
    <s v="ORD0108"/>
    <d v="2024-07-25T00:00:00"/>
    <x v="3"/>
    <s v="Store C"/>
    <x v="0"/>
    <x v="2"/>
    <n v="4"/>
    <n v="407"/>
    <n v="1628"/>
    <n v="980.98"/>
    <n v="647.02"/>
    <x v="0"/>
    <s v="Cash"/>
    <x v="1"/>
    <n v="0.39743243243243243"/>
  </r>
  <r>
    <s v="ORD0109"/>
    <d v="2024-02-27T00:00:00"/>
    <x v="3"/>
    <s v="Store D"/>
    <x v="2"/>
    <x v="3"/>
    <n v="6"/>
    <n v="866"/>
    <n v="5196"/>
    <n v="3394.08"/>
    <n v="1801.92"/>
    <x v="1"/>
    <s v="Card"/>
    <x v="0"/>
    <n v="0.34678983833718247"/>
  </r>
  <r>
    <s v="ORD0110"/>
    <d v="2024-04-10T00:00:00"/>
    <x v="1"/>
    <s v="Store D"/>
    <x v="1"/>
    <x v="5"/>
    <n v="7"/>
    <n v="768"/>
    <n v="5376"/>
    <n v="3327.38"/>
    <n v="2048.62"/>
    <x v="1"/>
    <s v="Online"/>
    <x v="6"/>
    <n v="0.38106770833333331"/>
  </r>
  <r>
    <s v="ORD0111"/>
    <d v="2024-08-13T00:00:00"/>
    <x v="3"/>
    <s v="Store B"/>
    <x v="0"/>
    <x v="2"/>
    <n v="6"/>
    <n v="350"/>
    <n v="2100"/>
    <n v="1636.08"/>
    <n v="463.92"/>
    <x v="0"/>
    <s v="Card"/>
    <x v="5"/>
    <n v="0.22091428571428573"/>
  </r>
  <r>
    <s v="ORD0112"/>
    <d v="2024-07-31T00:00:00"/>
    <x v="1"/>
    <s v="Store C"/>
    <x v="0"/>
    <x v="2"/>
    <n v="4"/>
    <n v="386"/>
    <n v="1544"/>
    <n v="1023.7"/>
    <n v="520.29999999999995"/>
    <x v="0"/>
    <s v="Card"/>
    <x v="1"/>
    <n v="0.33698186528497409"/>
  </r>
  <r>
    <s v="ORD0113"/>
    <d v="2024-03-21T00:00:00"/>
    <x v="2"/>
    <s v="Store D"/>
    <x v="1"/>
    <x v="1"/>
    <n v="1"/>
    <n v="43"/>
    <n v="43"/>
    <n v="32.630000000000003"/>
    <n v="10.37"/>
    <x v="1"/>
    <s v="Card"/>
    <x v="3"/>
    <n v="0.24116279069767441"/>
  </r>
  <r>
    <s v="ORD0114"/>
    <d v="2024-09-19T00:00:00"/>
    <x v="0"/>
    <s v="Store D"/>
    <x v="1"/>
    <x v="5"/>
    <n v="10"/>
    <n v="802"/>
    <n v="8020"/>
    <n v="4789.6400000000003"/>
    <n v="3230.36"/>
    <x v="1"/>
    <s v="Cash"/>
    <x v="8"/>
    <n v="0.40278802992518703"/>
  </r>
  <r>
    <s v="ORD0115"/>
    <d v="2024-09-03T00:00:00"/>
    <x v="1"/>
    <s v="Store B"/>
    <x v="2"/>
    <x v="3"/>
    <n v="8"/>
    <n v="358"/>
    <n v="2864"/>
    <n v="1699.74"/>
    <n v="1164.26"/>
    <x v="1"/>
    <s v="Online"/>
    <x v="8"/>
    <n v="0.40651536312849162"/>
  </r>
  <r>
    <s v="ORD0116"/>
    <d v="2024-08-11T00:00:00"/>
    <x v="3"/>
    <s v="Store A"/>
    <x v="0"/>
    <x v="8"/>
    <n v="1"/>
    <n v="677"/>
    <n v="677"/>
    <n v="513.29999999999995"/>
    <n v="163.69999999999999"/>
    <x v="1"/>
    <s v="Online"/>
    <x v="5"/>
    <n v="0.24180206794682421"/>
  </r>
  <r>
    <s v="ORD0117"/>
    <d v="2024-03-05T00:00:00"/>
    <x v="1"/>
    <s v="Store A"/>
    <x v="1"/>
    <x v="1"/>
    <n v="10"/>
    <n v="458"/>
    <n v="4580"/>
    <n v="2350.02"/>
    <n v="2229.98"/>
    <x v="0"/>
    <s v="Cash"/>
    <x v="3"/>
    <n v="0.48689519650655022"/>
  </r>
  <r>
    <s v="ORD0118"/>
    <d v="2024-05-15T00:00:00"/>
    <x v="3"/>
    <s v="Store A"/>
    <x v="2"/>
    <x v="6"/>
    <n v="4"/>
    <n v="394"/>
    <n v="1576"/>
    <n v="982.95"/>
    <n v="593.04999999999995"/>
    <x v="0"/>
    <s v="Online"/>
    <x v="9"/>
    <n v="0.37630076142131974"/>
  </r>
  <r>
    <s v="ORD0119"/>
    <d v="2024-06-23T00:00:00"/>
    <x v="1"/>
    <s v="Store A"/>
    <x v="1"/>
    <x v="1"/>
    <n v="2"/>
    <n v="948"/>
    <n v="1896"/>
    <n v="1459.63"/>
    <n v="436.37"/>
    <x v="0"/>
    <s v="UPI"/>
    <x v="7"/>
    <n v="0.2301529535864979"/>
  </r>
  <r>
    <s v="ORD0120"/>
    <d v="2024-05-22T00:00:00"/>
    <x v="2"/>
    <s v="Store A"/>
    <x v="1"/>
    <x v="5"/>
    <n v="2"/>
    <n v="88"/>
    <n v="176"/>
    <n v="120.42"/>
    <n v="55.58"/>
    <x v="1"/>
    <s v="Cash"/>
    <x v="9"/>
    <n v="0.31579545454545455"/>
  </r>
  <r>
    <s v="ORD0121"/>
    <d v="2024-05-23T00:00:00"/>
    <x v="2"/>
    <s v="Store B"/>
    <x v="0"/>
    <x v="0"/>
    <n v="10"/>
    <n v="452"/>
    <n v="4520"/>
    <n v="3594.64"/>
    <n v="925.36"/>
    <x v="0"/>
    <s v="Online"/>
    <x v="9"/>
    <n v="0.20472566371681417"/>
  </r>
  <r>
    <s v="ORD0122"/>
    <d v="2024-01-18T00:00:00"/>
    <x v="2"/>
    <s v="Store B"/>
    <x v="0"/>
    <x v="8"/>
    <n v="5"/>
    <n v="98"/>
    <n v="490"/>
    <n v="254.43"/>
    <n v="235.57"/>
    <x v="0"/>
    <s v="UPI"/>
    <x v="4"/>
    <n v="0.48075510204081634"/>
  </r>
  <r>
    <s v="ORD0123"/>
    <d v="2024-09-05T00:00:00"/>
    <x v="0"/>
    <s v="Store D"/>
    <x v="2"/>
    <x v="7"/>
    <n v="4"/>
    <n v="465"/>
    <n v="1860"/>
    <n v="1094.94"/>
    <n v="765.06"/>
    <x v="0"/>
    <s v="Online"/>
    <x v="8"/>
    <n v="0.41132258064516125"/>
  </r>
  <r>
    <s v="ORD0124"/>
    <d v="2024-01-23T00:00:00"/>
    <x v="3"/>
    <s v="Store B"/>
    <x v="1"/>
    <x v="5"/>
    <n v="6"/>
    <n v="980"/>
    <n v="5880"/>
    <n v="3805.05"/>
    <n v="2074.9499999999998"/>
    <x v="0"/>
    <s v="Online"/>
    <x v="4"/>
    <n v="0.35288265306122446"/>
  </r>
  <r>
    <s v="ORD0125"/>
    <d v="2024-06-20T00:00:00"/>
    <x v="3"/>
    <s v="Store C"/>
    <x v="1"/>
    <x v="1"/>
    <n v="10"/>
    <n v="694"/>
    <n v="6940"/>
    <n v="3507.58"/>
    <n v="3432.42"/>
    <x v="1"/>
    <s v="Card"/>
    <x v="7"/>
    <n v="0.49458501440922192"/>
  </r>
  <r>
    <s v="ORD0126"/>
    <d v="2024-07-08T00:00:00"/>
    <x v="2"/>
    <s v="Store D"/>
    <x v="2"/>
    <x v="3"/>
    <n v="9"/>
    <n v="829"/>
    <n v="7461"/>
    <n v="4874.38"/>
    <n v="2586.62"/>
    <x v="1"/>
    <s v="Cash"/>
    <x v="1"/>
    <n v="0.34668543090738507"/>
  </r>
  <r>
    <s v="ORD0127"/>
    <d v="2024-08-03T00:00:00"/>
    <x v="0"/>
    <s v="Store A"/>
    <x v="1"/>
    <x v="4"/>
    <n v="1"/>
    <n v="442"/>
    <n v="442"/>
    <n v="350.73"/>
    <n v="91.27"/>
    <x v="0"/>
    <s v="UPI"/>
    <x v="5"/>
    <n v="0.20649321266968326"/>
  </r>
  <r>
    <s v="ORD0128"/>
    <d v="2024-03-01T00:00:00"/>
    <x v="2"/>
    <s v="Store D"/>
    <x v="2"/>
    <x v="7"/>
    <n v="1"/>
    <n v="510"/>
    <n v="510"/>
    <n v="315.95"/>
    <n v="194.05"/>
    <x v="1"/>
    <s v="Cash"/>
    <x v="3"/>
    <n v="0.38049019607843138"/>
  </r>
  <r>
    <s v="ORD0129"/>
    <d v="2024-02-15T00:00:00"/>
    <x v="3"/>
    <s v="Store D"/>
    <x v="1"/>
    <x v="4"/>
    <n v="6"/>
    <n v="961"/>
    <n v="5766"/>
    <n v="3199.12"/>
    <n v="2566.88"/>
    <x v="1"/>
    <s v="UPI"/>
    <x v="0"/>
    <n v="0.44517516475893171"/>
  </r>
  <r>
    <s v="ORD0130"/>
    <d v="2024-08-22T00:00:00"/>
    <x v="2"/>
    <s v="Store B"/>
    <x v="1"/>
    <x v="5"/>
    <n v="8"/>
    <n v="693"/>
    <n v="5544"/>
    <n v="3609.64"/>
    <n v="1934.36"/>
    <x v="0"/>
    <s v="Card"/>
    <x v="5"/>
    <n v="0.34891053391053389"/>
  </r>
  <r>
    <s v="ORD0131"/>
    <d v="2024-02-22T00:00:00"/>
    <x v="3"/>
    <s v="Store B"/>
    <x v="0"/>
    <x v="0"/>
    <n v="6"/>
    <n v="923"/>
    <n v="5538"/>
    <n v="4336.53"/>
    <n v="1201.47"/>
    <x v="0"/>
    <s v="Online"/>
    <x v="0"/>
    <n v="0.21695016251354279"/>
  </r>
  <r>
    <s v="ORD0132"/>
    <d v="2024-09-22T00:00:00"/>
    <x v="2"/>
    <s v="Store B"/>
    <x v="2"/>
    <x v="6"/>
    <n v="7"/>
    <n v="761"/>
    <n v="5327"/>
    <n v="3888.2"/>
    <n v="1438.8"/>
    <x v="1"/>
    <s v="UPI"/>
    <x v="8"/>
    <n v="0.270095738689694"/>
  </r>
  <r>
    <s v="ORD0133"/>
    <d v="2024-02-14T00:00:00"/>
    <x v="2"/>
    <s v="Store C"/>
    <x v="2"/>
    <x v="6"/>
    <n v="9"/>
    <n v="352"/>
    <n v="3168"/>
    <n v="2430.33"/>
    <n v="737.67"/>
    <x v="1"/>
    <s v="Card"/>
    <x v="0"/>
    <n v="0.23285037878787879"/>
  </r>
  <r>
    <s v="ORD0134"/>
    <d v="2024-04-02T00:00:00"/>
    <x v="2"/>
    <s v="Store C"/>
    <x v="1"/>
    <x v="5"/>
    <n v="3"/>
    <n v="310"/>
    <n v="930"/>
    <n v="680.49"/>
    <n v="249.51"/>
    <x v="0"/>
    <s v="Online"/>
    <x v="6"/>
    <n v="0.26829032258064517"/>
  </r>
  <r>
    <s v="ORD0135"/>
    <d v="2024-09-04T00:00:00"/>
    <x v="3"/>
    <s v="Store D"/>
    <x v="2"/>
    <x v="7"/>
    <n v="8"/>
    <n v="659"/>
    <n v="5272"/>
    <n v="3524"/>
    <n v="1748"/>
    <x v="1"/>
    <s v="UPI"/>
    <x v="8"/>
    <n v="0.33156297420333841"/>
  </r>
  <r>
    <s v="ORD0136"/>
    <d v="2024-04-25T00:00:00"/>
    <x v="0"/>
    <s v="Store C"/>
    <x v="1"/>
    <x v="4"/>
    <n v="8"/>
    <n v="155"/>
    <n v="1240"/>
    <n v="780.35"/>
    <n v="459.65"/>
    <x v="1"/>
    <s v="Online"/>
    <x v="6"/>
    <n v="0.37068548387096772"/>
  </r>
  <r>
    <s v="ORD0137"/>
    <d v="2024-01-30T00:00:00"/>
    <x v="3"/>
    <s v="Store A"/>
    <x v="0"/>
    <x v="2"/>
    <n v="6"/>
    <n v="980"/>
    <n v="5880"/>
    <n v="3618.7"/>
    <n v="2261.3000000000002"/>
    <x v="0"/>
    <s v="Card"/>
    <x v="4"/>
    <n v="0.38457482993197284"/>
  </r>
  <r>
    <s v="ORD0138"/>
    <d v="2024-04-11T00:00:00"/>
    <x v="0"/>
    <s v="Store C"/>
    <x v="0"/>
    <x v="2"/>
    <n v="2"/>
    <n v="52"/>
    <n v="104"/>
    <n v="78.260000000000005"/>
    <n v="25.74"/>
    <x v="0"/>
    <s v="Cash"/>
    <x v="6"/>
    <n v="0.2475"/>
  </r>
  <r>
    <s v="ORD0139"/>
    <d v="2024-06-05T00:00:00"/>
    <x v="0"/>
    <s v="Store C"/>
    <x v="0"/>
    <x v="2"/>
    <n v="4"/>
    <n v="884"/>
    <n v="3536"/>
    <n v="1809.77"/>
    <n v="1726.23"/>
    <x v="1"/>
    <s v="Online"/>
    <x v="7"/>
    <n v="0.48818721719457014"/>
  </r>
  <r>
    <s v="ORD0140"/>
    <d v="2024-05-18T00:00:00"/>
    <x v="2"/>
    <s v="Store C"/>
    <x v="2"/>
    <x v="3"/>
    <n v="10"/>
    <n v="55"/>
    <n v="550"/>
    <n v="317.18"/>
    <n v="232.82"/>
    <x v="0"/>
    <s v="Cash"/>
    <x v="9"/>
    <n v="0.42330909090909091"/>
  </r>
  <r>
    <s v="ORD0141"/>
    <d v="2024-06-20T00:00:00"/>
    <x v="0"/>
    <s v="Store B"/>
    <x v="1"/>
    <x v="1"/>
    <n v="3"/>
    <n v="220"/>
    <n v="660"/>
    <n v="407.15"/>
    <n v="252.85"/>
    <x v="1"/>
    <s v="Card"/>
    <x v="7"/>
    <n v="0.38310606060606062"/>
  </r>
  <r>
    <s v="ORD0142"/>
    <d v="2024-08-21T00:00:00"/>
    <x v="0"/>
    <s v="Store A"/>
    <x v="1"/>
    <x v="4"/>
    <n v="6"/>
    <n v="222"/>
    <n v="1332"/>
    <n v="1012.79"/>
    <n v="319.20999999999998"/>
    <x v="1"/>
    <s v="Cash"/>
    <x v="5"/>
    <n v="0.23964714714714713"/>
  </r>
  <r>
    <s v="ORD0143"/>
    <d v="2024-06-02T00:00:00"/>
    <x v="3"/>
    <s v="Store C"/>
    <x v="0"/>
    <x v="8"/>
    <n v="10"/>
    <n v="639"/>
    <n v="6390"/>
    <n v="4346.22"/>
    <n v="2043.78"/>
    <x v="1"/>
    <s v="Card"/>
    <x v="7"/>
    <n v="0.31984037558685446"/>
  </r>
  <r>
    <s v="ORD0144"/>
    <d v="2024-01-02T00:00:00"/>
    <x v="1"/>
    <s v="Store B"/>
    <x v="2"/>
    <x v="7"/>
    <n v="6"/>
    <n v="462"/>
    <n v="2772"/>
    <n v="1847.11"/>
    <n v="924.89"/>
    <x v="1"/>
    <s v="Card"/>
    <x v="4"/>
    <n v="0.33365440115440115"/>
  </r>
  <r>
    <s v="ORD0145"/>
    <d v="2024-04-26T00:00:00"/>
    <x v="1"/>
    <s v="Store A"/>
    <x v="0"/>
    <x v="2"/>
    <n v="2"/>
    <n v="813"/>
    <n v="1626"/>
    <n v="867.17"/>
    <n v="758.83"/>
    <x v="0"/>
    <s v="Cash"/>
    <x v="6"/>
    <n v="0.46668511685116854"/>
  </r>
  <r>
    <s v="ORD0146"/>
    <d v="2024-04-08T00:00:00"/>
    <x v="1"/>
    <s v="Store D"/>
    <x v="1"/>
    <x v="1"/>
    <n v="2"/>
    <n v="648"/>
    <n v="1296"/>
    <n v="886.55"/>
    <n v="409.45"/>
    <x v="1"/>
    <s v="Online"/>
    <x v="6"/>
    <n v="0.31593364197530865"/>
  </r>
  <r>
    <s v="ORD0147"/>
    <d v="2024-01-12T00:00:00"/>
    <x v="2"/>
    <s v="Store C"/>
    <x v="0"/>
    <x v="0"/>
    <n v="5"/>
    <n v="271"/>
    <n v="1355"/>
    <n v="788.58"/>
    <n v="566.41999999999996"/>
    <x v="0"/>
    <s v="Online"/>
    <x v="4"/>
    <n v="0.41802214022140216"/>
  </r>
  <r>
    <s v="ORD0148"/>
    <d v="2024-08-31T00:00:00"/>
    <x v="3"/>
    <s v="Store B"/>
    <x v="0"/>
    <x v="2"/>
    <n v="2"/>
    <n v="544"/>
    <n v="1088"/>
    <n v="654.01"/>
    <n v="433.99"/>
    <x v="0"/>
    <s v="Cash"/>
    <x v="5"/>
    <n v="0.39888786764705886"/>
  </r>
  <r>
    <s v="ORD0149"/>
    <d v="2024-03-16T00:00:00"/>
    <x v="2"/>
    <s v="Store B"/>
    <x v="0"/>
    <x v="8"/>
    <n v="2"/>
    <n v="27"/>
    <n v="54"/>
    <n v="41.45"/>
    <n v="12.55"/>
    <x v="1"/>
    <s v="UPI"/>
    <x v="3"/>
    <n v="0.23240740740740742"/>
  </r>
  <r>
    <s v="ORD0150"/>
    <d v="2024-03-06T00:00:00"/>
    <x v="0"/>
    <s v="Store B"/>
    <x v="1"/>
    <x v="4"/>
    <n v="8"/>
    <n v="834"/>
    <n v="6672"/>
    <n v="5278.56"/>
    <n v="1393.44"/>
    <x v="1"/>
    <s v="Online"/>
    <x v="3"/>
    <n v="0.20884892086330936"/>
  </r>
  <r>
    <s v="ORD0151"/>
    <d v="2024-03-24T00:00:00"/>
    <x v="1"/>
    <s v="Store D"/>
    <x v="1"/>
    <x v="5"/>
    <n v="4"/>
    <n v="328"/>
    <n v="1312"/>
    <n v="797.69"/>
    <n v="514.30999999999995"/>
    <x v="0"/>
    <s v="Card"/>
    <x v="3"/>
    <n v="0.39200457317073167"/>
  </r>
  <r>
    <s v="ORD0152"/>
    <d v="2024-02-10T00:00:00"/>
    <x v="1"/>
    <s v="Store A"/>
    <x v="1"/>
    <x v="1"/>
    <n v="8"/>
    <n v="492"/>
    <n v="3936"/>
    <n v="2499.11"/>
    <n v="1436.89"/>
    <x v="0"/>
    <s v="Online"/>
    <x v="0"/>
    <n v="0.36506351626016265"/>
  </r>
  <r>
    <s v="ORD0153"/>
    <d v="2024-03-24T00:00:00"/>
    <x v="3"/>
    <s v="Store C"/>
    <x v="0"/>
    <x v="0"/>
    <n v="2"/>
    <n v="870"/>
    <n v="1740"/>
    <n v="1341.58"/>
    <n v="398.42"/>
    <x v="0"/>
    <s v="Card"/>
    <x v="3"/>
    <n v="0.22897701149425287"/>
  </r>
  <r>
    <s v="ORD0154"/>
    <d v="2024-09-05T00:00:00"/>
    <x v="0"/>
    <s v="Store B"/>
    <x v="2"/>
    <x v="3"/>
    <n v="2"/>
    <n v="935"/>
    <n v="1870"/>
    <n v="1156.44"/>
    <n v="713.56"/>
    <x v="0"/>
    <s v="Online"/>
    <x v="8"/>
    <n v="0.38158288770053472"/>
  </r>
  <r>
    <s v="ORD0155"/>
    <d v="2024-07-20T00:00:00"/>
    <x v="3"/>
    <s v="Store D"/>
    <x v="2"/>
    <x v="6"/>
    <n v="2"/>
    <n v="660"/>
    <n v="1320"/>
    <n v="666.88"/>
    <n v="653.12"/>
    <x v="0"/>
    <s v="Card"/>
    <x v="1"/>
    <n v="0.49478787878787878"/>
  </r>
  <r>
    <s v="ORD0156"/>
    <d v="2024-05-29T00:00:00"/>
    <x v="0"/>
    <s v="Store D"/>
    <x v="0"/>
    <x v="8"/>
    <n v="6"/>
    <n v="137"/>
    <n v="822"/>
    <n v="531.46"/>
    <n v="290.54000000000002"/>
    <x v="1"/>
    <s v="Card"/>
    <x v="9"/>
    <n v="0.35345498783454993"/>
  </r>
  <r>
    <s v="ORD0157"/>
    <d v="2024-03-09T00:00:00"/>
    <x v="3"/>
    <s v="Store B"/>
    <x v="1"/>
    <x v="1"/>
    <n v="10"/>
    <n v="974"/>
    <n v="9740"/>
    <n v="7153.36"/>
    <n v="2586.64"/>
    <x v="1"/>
    <s v="Cash"/>
    <x v="3"/>
    <n v="0.26556878850102666"/>
  </r>
  <r>
    <s v="ORD0158"/>
    <d v="2024-08-14T00:00:00"/>
    <x v="2"/>
    <s v="Store B"/>
    <x v="1"/>
    <x v="1"/>
    <n v="2"/>
    <n v="401"/>
    <n v="802"/>
    <n v="433.63"/>
    <n v="368.37"/>
    <x v="0"/>
    <s v="UPI"/>
    <x v="5"/>
    <n v="0.45931421446384041"/>
  </r>
  <r>
    <s v="ORD0159"/>
    <d v="2024-06-16T00:00:00"/>
    <x v="3"/>
    <s v="Store A"/>
    <x v="2"/>
    <x v="3"/>
    <n v="8"/>
    <n v="421"/>
    <n v="3368"/>
    <n v="2122.69"/>
    <n v="1245.31"/>
    <x v="1"/>
    <s v="Online"/>
    <x v="7"/>
    <n v="0.36974762470308786"/>
  </r>
  <r>
    <s v="ORD0160"/>
    <d v="2024-02-09T00:00:00"/>
    <x v="1"/>
    <s v="Store C"/>
    <x v="2"/>
    <x v="6"/>
    <n v="10"/>
    <n v="223"/>
    <n v="2230"/>
    <n v="1564.88"/>
    <n v="665.12"/>
    <x v="1"/>
    <s v="Online"/>
    <x v="0"/>
    <n v="0.29826008968609868"/>
  </r>
  <r>
    <s v="ORD0161"/>
    <d v="2024-05-03T00:00:00"/>
    <x v="3"/>
    <s v="Store A"/>
    <x v="2"/>
    <x v="6"/>
    <n v="5"/>
    <n v="717"/>
    <n v="3585"/>
    <n v="2355.0500000000002"/>
    <n v="1229.95"/>
    <x v="0"/>
    <s v="Cash"/>
    <x v="9"/>
    <n v="0.34308228730822876"/>
  </r>
  <r>
    <s v="ORD0162"/>
    <d v="2024-09-01T00:00:00"/>
    <x v="3"/>
    <s v="Store D"/>
    <x v="1"/>
    <x v="5"/>
    <n v="5"/>
    <n v="769"/>
    <n v="3845"/>
    <n v="2473.16"/>
    <n v="1371.84"/>
    <x v="1"/>
    <s v="Cash"/>
    <x v="8"/>
    <n v="0.35678543563068921"/>
  </r>
  <r>
    <s v="ORD0163"/>
    <d v="2024-07-11T00:00:00"/>
    <x v="3"/>
    <s v="Store A"/>
    <x v="2"/>
    <x v="7"/>
    <n v="9"/>
    <n v="394"/>
    <n v="3546"/>
    <n v="1915.02"/>
    <n v="1630.98"/>
    <x v="0"/>
    <s v="UPI"/>
    <x v="1"/>
    <n v="0.4599492385786802"/>
  </r>
  <r>
    <s v="ORD0164"/>
    <d v="2024-07-04T00:00:00"/>
    <x v="0"/>
    <s v="Store A"/>
    <x v="1"/>
    <x v="4"/>
    <n v="6"/>
    <n v="607"/>
    <n v="3642"/>
    <n v="2113.0300000000002"/>
    <n v="1528.97"/>
    <x v="1"/>
    <s v="Card"/>
    <x v="1"/>
    <n v="0.41981603514552446"/>
  </r>
  <r>
    <s v="ORD0165"/>
    <d v="2024-08-09T00:00:00"/>
    <x v="1"/>
    <s v="Store B"/>
    <x v="1"/>
    <x v="1"/>
    <n v="10"/>
    <n v="623"/>
    <n v="6230"/>
    <n v="3679.9"/>
    <n v="2550.1"/>
    <x v="0"/>
    <s v="Online"/>
    <x v="5"/>
    <n v="0.40932584269662919"/>
  </r>
  <r>
    <s v="ORD0166"/>
    <d v="2024-01-29T00:00:00"/>
    <x v="2"/>
    <s v="Store D"/>
    <x v="0"/>
    <x v="0"/>
    <n v="5"/>
    <n v="888"/>
    <n v="4440"/>
    <n v="3470.47"/>
    <n v="969.53"/>
    <x v="1"/>
    <s v="Card"/>
    <x v="4"/>
    <n v="0.21836261261261261"/>
  </r>
  <r>
    <s v="ORD0167"/>
    <d v="2024-05-22T00:00:00"/>
    <x v="1"/>
    <s v="Store B"/>
    <x v="0"/>
    <x v="0"/>
    <n v="7"/>
    <n v="986"/>
    <n v="6902"/>
    <n v="5090.5600000000004"/>
    <n v="1811.44"/>
    <x v="0"/>
    <s v="UPI"/>
    <x v="9"/>
    <n v="0.2624514633439583"/>
  </r>
  <r>
    <s v="ORD0168"/>
    <d v="2024-07-17T00:00:00"/>
    <x v="1"/>
    <s v="Store B"/>
    <x v="0"/>
    <x v="2"/>
    <n v="8"/>
    <n v="611"/>
    <n v="4888"/>
    <n v="3293.2"/>
    <n v="1594.8"/>
    <x v="0"/>
    <s v="Online"/>
    <x v="1"/>
    <n v="0.3262684124386252"/>
  </r>
  <r>
    <s v="ORD0169"/>
    <d v="2024-01-25T00:00:00"/>
    <x v="1"/>
    <s v="Store C"/>
    <x v="2"/>
    <x v="7"/>
    <n v="5"/>
    <n v="575"/>
    <n v="2875"/>
    <n v="1847.31"/>
    <n v="1027.69"/>
    <x v="0"/>
    <s v="UPI"/>
    <x v="4"/>
    <n v="0.35745739130434784"/>
  </r>
  <r>
    <s v="ORD0170"/>
    <d v="2024-04-26T00:00:00"/>
    <x v="3"/>
    <s v="Store A"/>
    <x v="0"/>
    <x v="8"/>
    <n v="4"/>
    <n v="804"/>
    <n v="3216"/>
    <n v="2467.4299999999998"/>
    <n v="748.57"/>
    <x v="0"/>
    <s v="UPI"/>
    <x v="6"/>
    <n v="0.23276430348258709"/>
  </r>
  <r>
    <s v="ORD0171"/>
    <d v="2024-09-12T00:00:00"/>
    <x v="0"/>
    <s v="Store A"/>
    <x v="1"/>
    <x v="4"/>
    <n v="4"/>
    <n v="578"/>
    <n v="2312"/>
    <n v="1662.19"/>
    <n v="649.80999999999995"/>
    <x v="1"/>
    <s v="Card"/>
    <x v="8"/>
    <n v="0.28105968858131486"/>
  </r>
  <r>
    <s v="ORD0172"/>
    <d v="2024-04-03T00:00:00"/>
    <x v="1"/>
    <s v="Store A"/>
    <x v="2"/>
    <x v="6"/>
    <n v="8"/>
    <n v="238"/>
    <n v="1904"/>
    <n v="1028.67"/>
    <n v="875.33"/>
    <x v="1"/>
    <s v="UPI"/>
    <x v="6"/>
    <n v="0.45973214285714287"/>
  </r>
  <r>
    <s v="ORD0173"/>
    <d v="2024-07-14T00:00:00"/>
    <x v="1"/>
    <s v="Store A"/>
    <x v="2"/>
    <x v="7"/>
    <n v="6"/>
    <n v="947"/>
    <n v="5682"/>
    <n v="3767.49"/>
    <n v="1914.51"/>
    <x v="1"/>
    <s v="Card"/>
    <x v="1"/>
    <n v="0.33694297782470961"/>
  </r>
  <r>
    <s v="ORD0174"/>
    <d v="2024-09-23T00:00:00"/>
    <x v="0"/>
    <s v="Store C"/>
    <x v="2"/>
    <x v="7"/>
    <n v="4"/>
    <n v="630"/>
    <n v="2520"/>
    <n v="1982.41"/>
    <n v="537.59"/>
    <x v="0"/>
    <s v="Online"/>
    <x v="8"/>
    <n v="0.21332936507936509"/>
  </r>
  <r>
    <s v="ORD0175"/>
    <d v="2024-10-18T00:00:00"/>
    <x v="0"/>
    <s v="Store D"/>
    <x v="2"/>
    <x v="6"/>
    <n v="7"/>
    <n v="455"/>
    <n v="3185"/>
    <n v="2051.44"/>
    <n v="1133.56"/>
    <x v="0"/>
    <s v="Online"/>
    <x v="2"/>
    <n v="0.35590580847723702"/>
  </r>
  <r>
    <s v="ORD0176"/>
    <d v="2024-08-16T00:00:00"/>
    <x v="3"/>
    <s v="Store D"/>
    <x v="2"/>
    <x v="7"/>
    <n v="4"/>
    <n v="381"/>
    <n v="1524"/>
    <n v="865.71"/>
    <n v="658.29"/>
    <x v="1"/>
    <s v="Cash"/>
    <x v="5"/>
    <n v="0.43194881889763775"/>
  </r>
  <r>
    <s v="ORD0177"/>
    <d v="2024-01-15T00:00:00"/>
    <x v="1"/>
    <s v="Store B"/>
    <x v="1"/>
    <x v="4"/>
    <n v="1"/>
    <n v="274"/>
    <n v="274"/>
    <n v="158.93"/>
    <n v="115.07"/>
    <x v="0"/>
    <s v="Online"/>
    <x v="4"/>
    <n v="0.41996350364963503"/>
  </r>
  <r>
    <s v="ORD0178"/>
    <d v="2024-08-07T00:00:00"/>
    <x v="1"/>
    <s v="Store A"/>
    <x v="1"/>
    <x v="1"/>
    <n v="2"/>
    <n v="408"/>
    <n v="816"/>
    <n v="467.86"/>
    <n v="348.14"/>
    <x v="1"/>
    <s v="Card"/>
    <x v="5"/>
    <n v="0.42664215686274509"/>
  </r>
  <r>
    <s v="ORD0179"/>
    <d v="2024-05-15T00:00:00"/>
    <x v="0"/>
    <s v="Store B"/>
    <x v="1"/>
    <x v="1"/>
    <n v="2"/>
    <n v="659"/>
    <n v="1318"/>
    <n v="828.29"/>
    <n v="489.71"/>
    <x v="0"/>
    <s v="Cash"/>
    <x v="9"/>
    <n v="0.37155538694992413"/>
  </r>
  <r>
    <s v="ORD0180"/>
    <d v="2024-05-18T00:00:00"/>
    <x v="2"/>
    <s v="Store A"/>
    <x v="2"/>
    <x v="6"/>
    <n v="1"/>
    <n v="288"/>
    <n v="288"/>
    <n v="229.38"/>
    <n v="58.62"/>
    <x v="1"/>
    <s v="Card"/>
    <x v="9"/>
    <n v="0.20354166666666665"/>
  </r>
  <r>
    <s v="ORD0181"/>
    <d v="2024-06-23T00:00:00"/>
    <x v="3"/>
    <s v="Store D"/>
    <x v="1"/>
    <x v="4"/>
    <n v="10"/>
    <n v="587"/>
    <n v="5870"/>
    <n v="4343.2700000000004"/>
    <n v="1526.73"/>
    <x v="0"/>
    <s v="Online"/>
    <x v="7"/>
    <n v="0.26009028960817715"/>
  </r>
  <r>
    <s v="ORD0182"/>
    <d v="2024-10-27T00:00:00"/>
    <x v="0"/>
    <s v="Store B"/>
    <x v="2"/>
    <x v="3"/>
    <n v="6"/>
    <n v="380"/>
    <n v="2280"/>
    <n v="1636.3"/>
    <n v="643.70000000000005"/>
    <x v="1"/>
    <s v="Cash"/>
    <x v="2"/>
    <n v="0.28232456140350881"/>
  </r>
  <r>
    <s v="ORD0183"/>
    <d v="2024-01-12T00:00:00"/>
    <x v="0"/>
    <s v="Store B"/>
    <x v="0"/>
    <x v="2"/>
    <n v="3"/>
    <n v="813"/>
    <n v="2439"/>
    <n v="1751.42"/>
    <n v="687.58"/>
    <x v="0"/>
    <s v="UPI"/>
    <x v="4"/>
    <n v="0.28191061910619108"/>
  </r>
  <r>
    <s v="ORD0184"/>
    <d v="2024-10-05T00:00:00"/>
    <x v="2"/>
    <s v="Store A"/>
    <x v="1"/>
    <x v="5"/>
    <n v="8"/>
    <n v="29"/>
    <n v="232"/>
    <n v="134.41"/>
    <n v="97.59"/>
    <x v="1"/>
    <s v="UPI"/>
    <x v="2"/>
    <n v="0.42064655172413795"/>
  </r>
  <r>
    <s v="ORD0185"/>
    <d v="2024-02-29T00:00:00"/>
    <x v="1"/>
    <s v="Store D"/>
    <x v="0"/>
    <x v="8"/>
    <n v="3"/>
    <n v="652"/>
    <n v="1956"/>
    <n v="1194.01"/>
    <n v="761.99"/>
    <x v="1"/>
    <s v="Online"/>
    <x v="0"/>
    <n v="0.38956543967280166"/>
  </r>
  <r>
    <s v="ORD0186"/>
    <d v="2024-03-23T00:00:00"/>
    <x v="0"/>
    <s v="Store B"/>
    <x v="0"/>
    <x v="8"/>
    <n v="3"/>
    <n v="539"/>
    <n v="1617"/>
    <n v="1159.42"/>
    <n v="457.58"/>
    <x v="0"/>
    <s v="Cash"/>
    <x v="3"/>
    <n v="0.28298082869511437"/>
  </r>
  <r>
    <s v="ORD0187"/>
    <d v="2024-06-27T00:00:00"/>
    <x v="1"/>
    <s v="Store A"/>
    <x v="1"/>
    <x v="5"/>
    <n v="2"/>
    <n v="654"/>
    <n v="1308"/>
    <n v="821.35"/>
    <n v="486.65"/>
    <x v="1"/>
    <s v="Cash"/>
    <x v="7"/>
    <n v="0.37205657492354738"/>
  </r>
  <r>
    <s v="ORD0188"/>
    <d v="2024-02-11T00:00:00"/>
    <x v="2"/>
    <s v="Store B"/>
    <x v="2"/>
    <x v="7"/>
    <n v="8"/>
    <n v="129"/>
    <n v="1032"/>
    <n v="627.08000000000004"/>
    <n v="404.92"/>
    <x v="1"/>
    <s v="Cash"/>
    <x v="0"/>
    <n v="0.39236434108527135"/>
  </r>
  <r>
    <s v="ORD0189"/>
    <d v="2024-09-08T00:00:00"/>
    <x v="2"/>
    <s v="Store B"/>
    <x v="0"/>
    <x v="8"/>
    <n v="5"/>
    <n v="298"/>
    <n v="1490"/>
    <n v="1081.78"/>
    <n v="408.22"/>
    <x v="1"/>
    <s v="Cash"/>
    <x v="8"/>
    <n v="0.27397315436241615"/>
  </r>
  <r>
    <s v="ORD0190"/>
    <d v="2024-09-06T00:00:00"/>
    <x v="1"/>
    <s v="Store A"/>
    <x v="0"/>
    <x v="8"/>
    <n v="4"/>
    <n v="636"/>
    <n v="2544"/>
    <n v="1717.88"/>
    <n v="826.12"/>
    <x v="1"/>
    <s v="Online"/>
    <x v="8"/>
    <n v="0.32473270440251573"/>
  </r>
  <r>
    <s v="ORD0191"/>
    <d v="2024-02-28T00:00:00"/>
    <x v="1"/>
    <s v="Store C"/>
    <x v="2"/>
    <x v="7"/>
    <n v="4"/>
    <n v="340"/>
    <n v="1360"/>
    <n v="927.41"/>
    <n v="432.59"/>
    <x v="1"/>
    <s v="UPI"/>
    <x v="0"/>
    <n v="0.31808088235294119"/>
  </r>
  <r>
    <s v="ORD0192"/>
    <d v="2024-03-28T00:00:00"/>
    <x v="3"/>
    <s v="Store C"/>
    <x v="2"/>
    <x v="7"/>
    <n v="5"/>
    <n v="732"/>
    <n v="3660"/>
    <n v="1992.72"/>
    <n v="1667.28"/>
    <x v="0"/>
    <s v="Cash"/>
    <x v="3"/>
    <n v="0.45554098360655737"/>
  </r>
  <r>
    <s v="ORD0193"/>
    <d v="2024-10-17T00:00:00"/>
    <x v="2"/>
    <s v="Store A"/>
    <x v="2"/>
    <x v="7"/>
    <n v="2"/>
    <n v="993"/>
    <n v="1986"/>
    <n v="1306.5899999999999"/>
    <n v="679.41"/>
    <x v="0"/>
    <s v="Online"/>
    <x v="2"/>
    <n v="0.34209969788519634"/>
  </r>
  <r>
    <s v="ORD0194"/>
    <d v="2024-04-15T00:00:00"/>
    <x v="0"/>
    <s v="Store B"/>
    <x v="1"/>
    <x v="5"/>
    <n v="7"/>
    <n v="930"/>
    <n v="6510"/>
    <n v="4755.92"/>
    <n v="1754.08"/>
    <x v="0"/>
    <s v="Online"/>
    <x v="6"/>
    <n v="0.26944393241167436"/>
  </r>
  <r>
    <s v="ORD0195"/>
    <d v="2024-09-26T00:00:00"/>
    <x v="2"/>
    <s v="Store D"/>
    <x v="1"/>
    <x v="1"/>
    <n v="2"/>
    <n v="883"/>
    <n v="1766"/>
    <n v="1393.32"/>
    <n v="372.68"/>
    <x v="0"/>
    <s v="Online"/>
    <x v="8"/>
    <n v="0.21103057757644395"/>
  </r>
  <r>
    <s v="ORD0196"/>
    <d v="2024-04-17T00:00:00"/>
    <x v="0"/>
    <s v="Store C"/>
    <x v="0"/>
    <x v="8"/>
    <n v="7"/>
    <n v="203"/>
    <n v="1421"/>
    <n v="1083.25"/>
    <n v="337.75"/>
    <x v="0"/>
    <s v="Card"/>
    <x v="6"/>
    <n v="0.2376847290640394"/>
  </r>
  <r>
    <s v="ORD0197"/>
    <d v="2024-07-31T00:00:00"/>
    <x v="1"/>
    <s v="Store D"/>
    <x v="0"/>
    <x v="8"/>
    <n v="6"/>
    <n v="316"/>
    <n v="1896"/>
    <n v="1458.22"/>
    <n v="437.78"/>
    <x v="0"/>
    <s v="Online"/>
    <x v="1"/>
    <n v="0.23089662447257384"/>
  </r>
  <r>
    <s v="ORD0198"/>
    <d v="2024-10-18T00:00:00"/>
    <x v="0"/>
    <s v="Store C"/>
    <x v="0"/>
    <x v="0"/>
    <n v="3"/>
    <n v="628"/>
    <n v="1884"/>
    <n v="1151.6400000000001"/>
    <n v="732.36"/>
    <x v="0"/>
    <s v="UPI"/>
    <x v="2"/>
    <n v="0.38872611464968154"/>
  </r>
  <r>
    <s v="ORD0199"/>
    <d v="2024-04-04T00:00:00"/>
    <x v="1"/>
    <s v="Store D"/>
    <x v="0"/>
    <x v="0"/>
    <n v="5"/>
    <n v="416"/>
    <n v="2080"/>
    <n v="1507.67"/>
    <n v="572.33000000000004"/>
    <x v="0"/>
    <s v="Cash"/>
    <x v="6"/>
    <n v="0.27515865384615384"/>
  </r>
  <r>
    <s v="ORD0200"/>
    <d v="2024-05-25T00:00:00"/>
    <x v="2"/>
    <s v="Store A"/>
    <x v="0"/>
    <x v="2"/>
    <n v="10"/>
    <n v="712"/>
    <n v="7120"/>
    <n v="4025.52"/>
    <n v="3094.48"/>
    <x v="0"/>
    <s v="UPI"/>
    <x v="9"/>
    <n v="0.43461797752808989"/>
  </r>
  <r>
    <s v="ORD0201"/>
    <d v="2024-01-20T00:00:00"/>
    <x v="1"/>
    <s v="Store C"/>
    <x v="2"/>
    <x v="3"/>
    <n v="10"/>
    <n v="909"/>
    <n v="9090"/>
    <n v="6122.46"/>
    <n v="2967.54"/>
    <x v="0"/>
    <s v="UPI"/>
    <x v="4"/>
    <n v="0.32646204620462044"/>
  </r>
  <r>
    <s v="ORD0202"/>
    <d v="2024-09-14T00:00:00"/>
    <x v="2"/>
    <s v="Store B"/>
    <x v="1"/>
    <x v="1"/>
    <n v="5"/>
    <n v="629"/>
    <n v="3145"/>
    <n v="2216.23"/>
    <n v="928.77"/>
    <x v="1"/>
    <s v="Online"/>
    <x v="8"/>
    <n v="0.29531637519872811"/>
  </r>
  <r>
    <s v="ORD0203"/>
    <d v="2024-01-02T00:00:00"/>
    <x v="1"/>
    <s v="Store D"/>
    <x v="0"/>
    <x v="2"/>
    <n v="5"/>
    <n v="229"/>
    <n v="1145"/>
    <n v="636.25"/>
    <n v="508.75"/>
    <x v="1"/>
    <s v="Card"/>
    <x v="4"/>
    <n v="0.4443231441048035"/>
  </r>
  <r>
    <s v="ORD0204"/>
    <d v="2024-01-22T00:00:00"/>
    <x v="1"/>
    <s v="Store D"/>
    <x v="0"/>
    <x v="2"/>
    <n v="2"/>
    <n v="496"/>
    <n v="992"/>
    <n v="651.21"/>
    <n v="340.79"/>
    <x v="0"/>
    <s v="Online"/>
    <x v="4"/>
    <n v="0.34353830645161293"/>
  </r>
  <r>
    <s v="ORD0205"/>
    <d v="2024-03-25T00:00:00"/>
    <x v="1"/>
    <s v="Store B"/>
    <x v="2"/>
    <x v="3"/>
    <n v="2"/>
    <n v="49"/>
    <n v="98"/>
    <n v="63.02"/>
    <n v="34.979999999999997"/>
    <x v="0"/>
    <s v="Card"/>
    <x v="3"/>
    <n v="0.35693877551020403"/>
  </r>
  <r>
    <s v="ORD0206"/>
    <d v="2024-01-09T00:00:00"/>
    <x v="3"/>
    <s v="Store C"/>
    <x v="1"/>
    <x v="1"/>
    <n v="6"/>
    <n v="609"/>
    <n v="3654"/>
    <n v="2297.9699999999998"/>
    <n v="1356.03"/>
    <x v="0"/>
    <s v="UPI"/>
    <x v="4"/>
    <n v="0.37110837438423644"/>
  </r>
  <r>
    <s v="ORD0207"/>
    <d v="2024-03-07T00:00:00"/>
    <x v="0"/>
    <s v="Store A"/>
    <x v="0"/>
    <x v="8"/>
    <n v="2"/>
    <n v="91"/>
    <n v="182"/>
    <n v="143.62"/>
    <n v="38.380000000000003"/>
    <x v="0"/>
    <s v="Card"/>
    <x v="3"/>
    <n v="0.21087912087912089"/>
  </r>
  <r>
    <s v="ORD0208"/>
    <d v="2024-01-15T00:00:00"/>
    <x v="0"/>
    <s v="Store D"/>
    <x v="0"/>
    <x v="8"/>
    <n v="1"/>
    <n v="369"/>
    <n v="369"/>
    <n v="288.23"/>
    <n v="80.77"/>
    <x v="1"/>
    <s v="Online"/>
    <x v="4"/>
    <n v="0.21888888888888888"/>
  </r>
  <r>
    <s v="ORD0209"/>
    <d v="2024-09-30T00:00:00"/>
    <x v="3"/>
    <s v="Store C"/>
    <x v="0"/>
    <x v="2"/>
    <n v="10"/>
    <n v="827"/>
    <n v="8270"/>
    <n v="4201.05"/>
    <n v="4068.95"/>
    <x v="0"/>
    <s v="UPI"/>
    <x v="8"/>
    <n v="0.49201330108827085"/>
  </r>
  <r>
    <s v="ORD0210"/>
    <d v="2024-07-17T00:00:00"/>
    <x v="1"/>
    <s v="Store C"/>
    <x v="1"/>
    <x v="1"/>
    <n v="8"/>
    <n v="366"/>
    <n v="2928"/>
    <n v="2008.33"/>
    <n v="919.67"/>
    <x v="1"/>
    <s v="Cash"/>
    <x v="1"/>
    <n v="0.31409494535519122"/>
  </r>
  <r>
    <s v="ORD0211"/>
    <d v="2024-02-24T00:00:00"/>
    <x v="2"/>
    <s v="Store A"/>
    <x v="0"/>
    <x v="2"/>
    <n v="4"/>
    <n v="25"/>
    <n v="100"/>
    <n v="63.22"/>
    <n v="36.78"/>
    <x v="1"/>
    <s v="UPI"/>
    <x v="0"/>
    <n v="0.36780000000000002"/>
  </r>
  <r>
    <s v="ORD0212"/>
    <d v="2024-07-09T00:00:00"/>
    <x v="2"/>
    <s v="Store C"/>
    <x v="0"/>
    <x v="0"/>
    <n v="6"/>
    <n v="841"/>
    <n v="5046"/>
    <n v="2558.2399999999998"/>
    <n v="2487.7600000000002"/>
    <x v="0"/>
    <s v="UPI"/>
    <x v="1"/>
    <n v="0.49301625049544195"/>
  </r>
  <r>
    <s v="ORD0213"/>
    <d v="2024-09-14T00:00:00"/>
    <x v="1"/>
    <s v="Store A"/>
    <x v="0"/>
    <x v="0"/>
    <n v="1"/>
    <n v="217"/>
    <n v="217"/>
    <n v="129.99"/>
    <n v="87.01"/>
    <x v="0"/>
    <s v="UPI"/>
    <x v="8"/>
    <n v="0.4009677419354839"/>
  </r>
  <r>
    <s v="ORD0214"/>
    <d v="2024-01-17T00:00:00"/>
    <x v="3"/>
    <s v="Store D"/>
    <x v="2"/>
    <x v="3"/>
    <n v="4"/>
    <n v="328"/>
    <n v="1312"/>
    <n v="771.26"/>
    <n v="540.74"/>
    <x v="1"/>
    <s v="Card"/>
    <x v="4"/>
    <n v="0.41214939024390246"/>
  </r>
  <r>
    <s v="ORD0215"/>
    <d v="2024-07-02T00:00:00"/>
    <x v="0"/>
    <s v="Store C"/>
    <x v="0"/>
    <x v="0"/>
    <n v="2"/>
    <n v="455"/>
    <n v="910"/>
    <n v="565.69000000000005"/>
    <n v="344.31"/>
    <x v="1"/>
    <s v="Online"/>
    <x v="1"/>
    <n v="0.37836263736263737"/>
  </r>
  <r>
    <s v="ORD0216"/>
    <d v="2024-07-09T00:00:00"/>
    <x v="2"/>
    <s v="Store C"/>
    <x v="0"/>
    <x v="8"/>
    <n v="3"/>
    <n v="933"/>
    <n v="2799"/>
    <n v="1609.94"/>
    <n v="1189.06"/>
    <x v="1"/>
    <s v="Cash"/>
    <x v="1"/>
    <n v="0.42481600571632722"/>
  </r>
  <r>
    <s v="ORD0217"/>
    <d v="2024-10-26T00:00:00"/>
    <x v="3"/>
    <s v="Store B"/>
    <x v="0"/>
    <x v="0"/>
    <n v="4"/>
    <n v="559"/>
    <n v="2236"/>
    <n v="1723.97"/>
    <n v="512.03"/>
    <x v="0"/>
    <s v="UPI"/>
    <x v="2"/>
    <n v="0.2289937388193202"/>
  </r>
  <r>
    <s v="ORD0218"/>
    <d v="2024-04-06T00:00:00"/>
    <x v="2"/>
    <s v="Store C"/>
    <x v="1"/>
    <x v="5"/>
    <n v="7"/>
    <n v="375"/>
    <n v="2625"/>
    <n v="1802.41"/>
    <n v="822.59"/>
    <x v="1"/>
    <s v="Card"/>
    <x v="6"/>
    <n v="0.31336761904761906"/>
  </r>
  <r>
    <s v="ORD0219"/>
    <d v="2024-03-30T00:00:00"/>
    <x v="3"/>
    <s v="Store D"/>
    <x v="2"/>
    <x v="3"/>
    <n v="3"/>
    <n v="638"/>
    <n v="1914"/>
    <n v="1323.07"/>
    <n v="590.92999999999995"/>
    <x v="1"/>
    <s v="Cash"/>
    <x v="3"/>
    <n v="0.30874085684430508"/>
  </r>
  <r>
    <s v="ORD0220"/>
    <d v="2024-03-17T00:00:00"/>
    <x v="1"/>
    <s v="Store C"/>
    <x v="0"/>
    <x v="2"/>
    <n v="8"/>
    <n v="257"/>
    <n v="2056"/>
    <n v="1643.3"/>
    <n v="412.7"/>
    <x v="0"/>
    <s v="UPI"/>
    <x v="3"/>
    <n v="0.20072957198443578"/>
  </r>
  <r>
    <s v="ORD0221"/>
    <d v="2024-01-12T00:00:00"/>
    <x v="1"/>
    <s v="Store A"/>
    <x v="2"/>
    <x v="6"/>
    <n v="3"/>
    <n v="125"/>
    <n v="375"/>
    <n v="202.13"/>
    <n v="172.87"/>
    <x v="0"/>
    <s v="UPI"/>
    <x v="4"/>
    <n v="0.46098666666666666"/>
  </r>
  <r>
    <s v="ORD0222"/>
    <d v="2024-09-14T00:00:00"/>
    <x v="3"/>
    <s v="Store C"/>
    <x v="2"/>
    <x v="3"/>
    <n v="2"/>
    <n v="867"/>
    <n v="1734"/>
    <n v="1120.31"/>
    <n v="613.69000000000005"/>
    <x v="1"/>
    <s v="Card"/>
    <x v="8"/>
    <n v="0.3539158016147636"/>
  </r>
  <r>
    <s v="ORD0223"/>
    <d v="2024-07-22T00:00:00"/>
    <x v="1"/>
    <s v="Store B"/>
    <x v="0"/>
    <x v="8"/>
    <n v="6"/>
    <n v="712"/>
    <n v="4272"/>
    <n v="2953.49"/>
    <n v="1318.51"/>
    <x v="0"/>
    <s v="Online"/>
    <x v="1"/>
    <n v="0.30863998127340825"/>
  </r>
  <r>
    <s v="ORD0224"/>
    <d v="2024-06-21T00:00:00"/>
    <x v="1"/>
    <s v="Store B"/>
    <x v="1"/>
    <x v="4"/>
    <n v="3"/>
    <n v="371"/>
    <n v="1113"/>
    <n v="858.45"/>
    <n v="254.55"/>
    <x v="0"/>
    <s v="Cash"/>
    <x v="7"/>
    <n v="0.22870619946091644"/>
  </r>
  <r>
    <s v="ORD0225"/>
    <d v="2024-06-27T00:00:00"/>
    <x v="2"/>
    <s v="Store B"/>
    <x v="2"/>
    <x v="3"/>
    <n v="9"/>
    <n v="984"/>
    <n v="8856"/>
    <n v="5786.36"/>
    <n v="3069.64"/>
    <x v="1"/>
    <s v="Online"/>
    <x v="7"/>
    <n v="0.346616982836495"/>
  </r>
  <r>
    <s v="ORD0226"/>
    <d v="2024-04-26T00:00:00"/>
    <x v="0"/>
    <s v="Store B"/>
    <x v="2"/>
    <x v="6"/>
    <n v="10"/>
    <n v="536"/>
    <n v="5360"/>
    <n v="3366.6"/>
    <n v="1993.4"/>
    <x v="1"/>
    <s v="UPI"/>
    <x v="6"/>
    <n v="0.37190298507462688"/>
  </r>
  <r>
    <s v="ORD0227"/>
    <d v="2024-07-18T00:00:00"/>
    <x v="1"/>
    <s v="Store C"/>
    <x v="2"/>
    <x v="3"/>
    <n v="8"/>
    <n v="548"/>
    <n v="4384"/>
    <n v="3156.97"/>
    <n v="1227.03"/>
    <x v="0"/>
    <s v="UPI"/>
    <x v="1"/>
    <n v="0.27988822992700729"/>
  </r>
  <r>
    <s v="ORD0228"/>
    <d v="2024-03-01T00:00:00"/>
    <x v="1"/>
    <s v="Store D"/>
    <x v="2"/>
    <x v="6"/>
    <n v="6"/>
    <n v="690"/>
    <n v="4140"/>
    <n v="3275.65"/>
    <n v="864.35"/>
    <x v="0"/>
    <s v="Online"/>
    <x v="3"/>
    <n v="0.20878019323671498"/>
  </r>
  <r>
    <s v="ORD0229"/>
    <d v="2024-04-24T00:00:00"/>
    <x v="0"/>
    <s v="Store D"/>
    <x v="0"/>
    <x v="2"/>
    <n v="10"/>
    <n v="938"/>
    <n v="9380"/>
    <n v="5563.37"/>
    <n v="3816.63"/>
    <x v="1"/>
    <s v="Card"/>
    <x v="6"/>
    <n v="0.40689019189765457"/>
  </r>
  <r>
    <s v="ORD0230"/>
    <d v="2024-07-26T00:00:00"/>
    <x v="0"/>
    <s v="Store B"/>
    <x v="2"/>
    <x v="3"/>
    <n v="2"/>
    <n v="744"/>
    <n v="1488"/>
    <n v="1134.67"/>
    <n v="353.33"/>
    <x v="0"/>
    <s v="Cash"/>
    <x v="1"/>
    <n v="0.23745295698924729"/>
  </r>
  <r>
    <s v="ORD0231"/>
    <d v="2024-03-28T00:00:00"/>
    <x v="2"/>
    <s v="Store C"/>
    <x v="2"/>
    <x v="6"/>
    <n v="5"/>
    <n v="578"/>
    <n v="2890"/>
    <n v="1608.26"/>
    <n v="1281.74"/>
    <x v="1"/>
    <s v="Card"/>
    <x v="3"/>
    <n v="0.44350865051903116"/>
  </r>
  <r>
    <s v="ORD0232"/>
    <d v="2024-08-28T00:00:00"/>
    <x v="1"/>
    <s v="Store D"/>
    <x v="0"/>
    <x v="8"/>
    <n v="5"/>
    <n v="248"/>
    <n v="1240"/>
    <n v="988.38"/>
    <n v="251.62"/>
    <x v="0"/>
    <s v="Online"/>
    <x v="5"/>
    <n v="0.20291935483870968"/>
  </r>
  <r>
    <s v="ORD0233"/>
    <d v="2024-08-07T00:00:00"/>
    <x v="0"/>
    <s v="Store C"/>
    <x v="0"/>
    <x v="2"/>
    <n v="9"/>
    <n v="480"/>
    <n v="4320"/>
    <n v="2927.03"/>
    <n v="1392.97"/>
    <x v="1"/>
    <s v="Online"/>
    <x v="5"/>
    <n v="0.32244675925925925"/>
  </r>
  <r>
    <s v="ORD0234"/>
    <d v="2024-03-16T00:00:00"/>
    <x v="3"/>
    <s v="Store D"/>
    <x v="1"/>
    <x v="4"/>
    <n v="3"/>
    <n v="963"/>
    <n v="2889"/>
    <n v="2097.5"/>
    <n v="791.5"/>
    <x v="1"/>
    <s v="Cash"/>
    <x v="3"/>
    <n v="0.27397023191415715"/>
  </r>
  <r>
    <s v="ORD0235"/>
    <d v="2024-07-02T00:00:00"/>
    <x v="1"/>
    <s v="Store D"/>
    <x v="2"/>
    <x v="3"/>
    <n v="10"/>
    <n v="572"/>
    <n v="5720"/>
    <n v="4106.4799999999996"/>
    <n v="1613.52"/>
    <x v="0"/>
    <s v="Cash"/>
    <x v="1"/>
    <n v="0.28208391608391609"/>
  </r>
  <r>
    <s v="ORD0236"/>
    <d v="2024-01-04T00:00:00"/>
    <x v="0"/>
    <s v="Store C"/>
    <x v="0"/>
    <x v="0"/>
    <n v="7"/>
    <n v="576"/>
    <n v="4032"/>
    <n v="2366.9"/>
    <n v="1665.1"/>
    <x v="0"/>
    <s v="UPI"/>
    <x v="4"/>
    <n v="0.41297123015873016"/>
  </r>
  <r>
    <s v="ORD0237"/>
    <d v="2024-08-08T00:00:00"/>
    <x v="2"/>
    <s v="Store B"/>
    <x v="1"/>
    <x v="1"/>
    <n v="5"/>
    <n v="226"/>
    <n v="1130"/>
    <n v="793.99"/>
    <n v="336.01"/>
    <x v="0"/>
    <s v="UPI"/>
    <x v="5"/>
    <n v="0.29735398230088494"/>
  </r>
  <r>
    <s v="ORD0238"/>
    <d v="2024-08-06T00:00:00"/>
    <x v="3"/>
    <s v="Store C"/>
    <x v="1"/>
    <x v="4"/>
    <n v="8"/>
    <n v="722"/>
    <n v="5776"/>
    <n v="4543.75"/>
    <n v="1232.25"/>
    <x v="1"/>
    <s v="Cash"/>
    <x v="5"/>
    <n v="0.21333968144044321"/>
  </r>
  <r>
    <s v="ORD0239"/>
    <d v="2024-05-16T00:00:00"/>
    <x v="0"/>
    <s v="Store D"/>
    <x v="0"/>
    <x v="8"/>
    <n v="5"/>
    <n v="471"/>
    <n v="2355"/>
    <n v="1179.7"/>
    <n v="1175.3"/>
    <x v="1"/>
    <s v="Online"/>
    <x v="9"/>
    <n v="0.49906581740976641"/>
  </r>
  <r>
    <s v="ORD0240"/>
    <d v="2024-10-11T00:00:00"/>
    <x v="1"/>
    <s v="Store B"/>
    <x v="2"/>
    <x v="7"/>
    <n v="9"/>
    <n v="582"/>
    <n v="5238"/>
    <n v="3434.04"/>
    <n v="1803.96"/>
    <x v="1"/>
    <s v="Online"/>
    <x v="2"/>
    <n v="0.3443986254295533"/>
  </r>
  <r>
    <s v="ORD0241"/>
    <d v="2024-10-10T00:00:00"/>
    <x v="0"/>
    <s v="Store D"/>
    <x v="0"/>
    <x v="8"/>
    <n v="9"/>
    <n v="409"/>
    <n v="3681"/>
    <n v="1957.87"/>
    <n v="1723.13"/>
    <x v="1"/>
    <s v="Online"/>
    <x v="2"/>
    <n v="0.46811464276011955"/>
  </r>
  <r>
    <s v="ORD0242"/>
    <d v="2024-05-08T00:00:00"/>
    <x v="0"/>
    <s v="Store D"/>
    <x v="2"/>
    <x v="3"/>
    <n v="3"/>
    <n v="111"/>
    <n v="333"/>
    <n v="259.89999999999998"/>
    <n v="73.099999999999994"/>
    <x v="1"/>
    <s v="Cash"/>
    <x v="9"/>
    <n v="0.21951951951951951"/>
  </r>
  <r>
    <s v="ORD0243"/>
    <d v="2024-03-04T00:00:00"/>
    <x v="2"/>
    <s v="Store D"/>
    <x v="2"/>
    <x v="7"/>
    <n v="5"/>
    <n v="1000"/>
    <n v="5000"/>
    <n v="3758.83"/>
    <n v="1241.17"/>
    <x v="0"/>
    <s v="UPI"/>
    <x v="3"/>
    <n v="0.24823400000000001"/>
  </r>
  <r>
    <s v="ORD0244"/>
    <d v="2024-08-14T00:00:00"/>
    <x v="3"/>
    <s v="Store A"/>
    <x v="2"/>
    <x v="6"/>
    <n v="9"/>
    <n v="399"/>
    <n v="3591"/>
    <n v="2739.5"/>
    <n v="851.5"/>
    <x v="1"/>
    <s v="UPI"/>
    <x v="5"/>
    <n v="0.23712057922584237"/>
  </r>
  <r>
    <s v="ORD0245"/>
    <d v="2024-06-14T00:00:00"/>
    <x v="0"/>
    <s v="Store A"/>
    <x v="0"/>
    <x v="0"/>
    <n v="1"/>
    <n v="877"/>
    <n v="877"/>
    <n v="470.66"/>
    <n v="406.34"/>
    <x v="0"/>
    <s v="UPI"/>
    <x v="7"/>
    <n v="0.46332953249714937"/>
  </r>
  <r>
    <s v="ORD0246"/>
    <d v="2024-02-08T00:00:00"/>
    <x v="3"/>
    <s v="Store C"/>
    <x v="1"/>
    <x v="4"/>
    <n v="6"/>
    <n v="698"/>
    <n v="4188"/>
    <n v="3326.93"/>
    <n v="861.07"/>
    <x v="1"/>
    <s v="UPI"/>
    <x v="0"/>
    <n v="0.20560410697230183"/>
  </r>
  <r>
    <s v="ORD0247"/>
    <d v="2024-08-24T00:00:00"/>
    <x v="0"/>
    <s v="Store A"/>
    <x v="0"/>
    <x v="2"/>
    <n v="1"/>
    <n v="369"/>
    <n v="369"/>
    <n v="200.31"/>
    <n v="168.69"/>
    <x v="1"/>
    <s v="UPI"/>
    <x v="5"/>
    <n v="0.45715447154471545"/>
  </r>
  <r>
    <s v="ORD0248"/>
    <d v="2024-07-01T00:00:00"/>
    <x v="1"/>
    <s v="Store B"/>
    <x v="1"/>
    <x v="4"/>
    <n v="8"/>
    <n v="297"/>
    <n v="2376"/>
    <n v="1524.71"/>
    <n v="851.29"/>
    <x v="1"/>
    <s v="Cash"/>
    <x v="1"/>
    <n v="0.35828703703703701"/>
  </r>
  <r>
    <s v="ORD0249"/>
    <d v="2024-02-10T00:00:00"/>
    <x v="0"/>
    <s v="Store B"/>
    <x v="1"/>
    <x v="5"/>
    <n v="4"/>
    <n v="259"/>
    <n v="1036"/>
    <n v="725.51"/>
    <n v="310.49"/>
    <x v="0"/>
    <s v="Online"/>
    <x v="0"/>
    <n v="0.29970077220077224"/>
  </r>
  <r>
    <s v="ORD0250"/>
    <d v="2024-06-23T00:00:00"/>
    <x v="1"/>
    <s v="Store A"/>
    <x v="2"/>
    <x v="3"/>
    <n v="9"/>
    <n v="473"/>
    <n v="4257"/>
    <n v="3242.55"/>
    <n v="1014.45"/>
    <x v="0"/>
    <s v="UPI"/>
    <x v="7"/>
    <n v="0.23830162085976039"/>
  </r>
  <r>
    <s v="ORD0251"/>
    <d v="2024-08-13T00:00:00"/>
    <x v="0"/>
    <s v="Store C"/>
    <x v="0"/>
    <x v="8"/>
    <n v="6"/>
    <n v="868"/>
    <n v="5208"/>
    <n v="2998.67"/>
    <n v="2209.33"/>
    <x v="1"/>
    <s v="UPI"/>
    <x v="5"/>
    <n v="0.424218509984639"/>
  </r>
  <r>
    <s v="ORD0252"/>
    <d v="2024-10-17T00:00:00"/>
    <x v="3"/>
    <s v="Store B"/>
    <x v="1"/>
    <x v="5"/>
    <n v="6"/>
    <n v="203"/>
    <n v="1218"/>
    <n v="759.78"/>
    <n v="458.22"/>
    <x v="0"/>
    <s v="Online"/>
    <x v="2"/>
    <n v="0.37620689655172418"/>
  </r>
  <r>
    <s v="ORD0253"/>
    <d v="2024-05-26T00:00:00"/>
    <x v="1"/>
    <s v="Store A"/>
    <x v="0"/>
    <x v="0"/>
    <n v="6"/>
    <n v="436"/>
    <n v="2616"/>
    <n v="1665.13"/>
    <n v="950.87"/>
    <x v="1"/>
    <s v="UPI"/>
    <x v="9"/>
    <n v="0.3634824159021407"/>
  </r>
  <r>
    <s v="ORD0254"/>
    <d v="2024-02-11T00:00:00"/>
    <x v="1"/>
    <s v="Store D"/>
    <x v="2"/>
    <x v="6"/>
    <n v="2"/>
    <n v="44"/>
    <n v="88"/>
    <n v="60.4"/>
    <n v="27.6"/>
    <x v="0"/>
    <s v="UPI"/>
    <x v="0"/>
    <n v="0.31363636363636366"/>
  </r>
  <r>
    <s v="ORD0255"/>
    <d v="2024-02-29T00:00:00"/>
    <x v="2"/>
    <s v="Store A"/>
    <x v="2"/>
    <x v="3"/>
    <n v="4"/>
    <n v="615"/>
    <n v="2460"/>
    <n v="1393.12"/>
    <n v="1066.8800000000001"/>
    <x v="0"/>
    <s v="UPI"/>
    <x v="0"/>
    <n v="0.43369105691056914"/>
  </r>
  <r>
    <s v="ORD0256"/>
    <d v="2024-03-30T00:00:00"/>
    <x v="3"/>
    <s v="Store D"/>
    <x v="0"/>
    <x v="0"/>
    <n v="6"/>
    <n v="314"/>
    <n v="1884"/>
    <n v="1477.29"/>
    <n v="406.71"/>
    <x v="0"/>
    <s v="UPI"/>
    <x v="3"/>
    <n v="0.21587579617834393"/>
  </r>
  <r>
    <s v="ORD0257"/>
    <d v="2024-10-07T00:00:00"/>
    <x v="2"/>
    <s v="Store D"/>
    <x v="0"/>
    <x v="0"/>
    <n v="2"/>
    <n v="604"/>
    <n v="1208"/>
    <n v="886.84"/>
    <n v="321.16000000000003"/>
    <x v="1"/>
    <s v="Cash"/>
    <x v="2"/>
    <n v="0.26586092715231791"/>
  </r>
  <r>
    <s v="ORD0258"/>
    <d v="2024-02-17T00:00:00"/>
    <x v="1"/>
    <s v="Store A"/>
    <x v="1"/>
    <x v="5"/>
    <n v="4"/>
    <n v="732"/>
    <n v="2928"/>
    <n v="1818.23"/>
    <n v="1109.77"/>
    <x v="1"/>
    <s v="Card"/>
    <x v="0"/>
    <n v="0.37901980874316937"/>
  </r>
  <r>
    <s v="ORD0259"/>
    <d v="2024-06-21T00:00:00"/>
    <x v="0"/>
    <s v="Store A"/>
    <x v="2"/>
    <x v="3"/>
    <n v="6"/>
    <n v="358"/>
    <n v="2148"/>
    <n v="1692.48"/>
    <n v="455.52"/>
    <x v="1"/>
    <s v="Cash"/>
    <x v="7"/>
    <n v="0.21206703910614524"/>
  </r>
  <r>
    <s v="ORD0260"/>
    <d v="2024-01-14T00:00:00"/>
    <x v="0"/>
    <s v="Store A"/>
    <x v="0"/>
    <x v="8"/>
    <n v="1"/>
    <n v="588"/>
    <n v="588"/>
    <n v="338.78"/>
    <n v="249.22"/>
    <x v="0"/>
    <s v="Online"/>
    <x v="4"/>
    <n v="0.423843537414966"/>
  </r>
  <r>
    <s v="ORD0261"/>
    <d v="2024-08-14T00:00:00"/>
    <x v="2"/>
    <s v="Store B"/>
    <x v="0"/>
    <x v="0"/>
    <n v="10"/>
    <n v="336"/>
    <n v="3360"/>
    <n v="2522.13"/>
    <n v="837.87"/>
    <x v="1"/>
    <s v="Online"/>
    <x v="5"/>
    <n v="0.24936607142857142"/>
  </r>
  <r>
    <s v="ORD0262"/>
    <d v="2024-01-28T00:00:00"/>
    <x v="0"/>
    <s v="Store C"/>
    <x v="1"/>
    <x v="5"/>
    <n v="9"/>
    <n v="650"/>
    <n v="5850"/>
    <n v="4602.82"/>
    <n v="1247.18"/>
    <x v="0"/>
    <s v="Card"/>
    <x v="4"/>
    <n v="0.21319316239316241"/>
  </r>
  <r>
    <s v="ORD0263"/>
    <d v="2024-04-11T00:00:00"/>
    <x v="1"/>
    <s v="Store C"/>
    <x v="1"/>
    <x v="5"/>
    <n v="3"/>
    <n v="158"/>
    <n v="474"/>
    <n v="348.74"/>
    <n v="125.26"/>
    <x v="0"/>
    <s v="Card"/>
    <x v="6"/>
    <n v="0.26426160337552745"/>
  </r>
  <r>
    <s v="ORD0264"/>
    <d v="2024-07-12T00:00:00"/>
    <x v="0"/>
    <s v="Store D"/>
    <x v="1"/>
    <x v="4"/>
    <n v="3"/>
    <n v="371"/>
    <n v="1113"/>
    <n v="660.04"/>
    <n v="452.96"/>
    <x v="1"/>
    <s v="Card"/>
    <x v="1"/>
    <n v="0.40697214734950582"/>
  </r>
  <r>
    <s v="ORD0265"/>
    <d v="2024-01-07T00:00:00"/>
    <x v="0"/>
    <s v="Store A"/>
    <x v="0"/>
    <x v="8"/>
    <n v="5"/>
    <n v="89"/>
    <n v="445"/>
    <n v="224.99"/>
    <n v="220.01"/>
    <x v="0"/>
    <s v="Online"/>
    <x v="4"/>
    <n v="0.49440449438202244"/>
  </r>
  <r>
    <s v="ORD0266"/>
    <d v="2024-03-14T00:00:00"/>
    <x v="2"/>
    <s v="Store A"/>
    <x v="0"/>
    <x v="8"/>
    <n v="6"/>
    <n v="297"/>
    <n v="1782"/>
    <n v="1319.61"/>
    <n v="462.39"/>
    <x v="1"/>
    <s v="Cash"/>
    <x v="3"/>
    <n v="0.25947811447811447"/>
  </r>
  <r>
    <s v="ORD0267"/>
    <d v="2024-10-13T00:00:00"/>
    <x v="0"/>
    <s v="Store D"/>
    <x v="2"/>
    <x v="6"/>
    <n v="1"/>
    <n v="155"/>
    <n v="155"/>
    <n v="94.52"/>
    <n v="60.48"/>
    <x v="1"/>
    <s v="Cash"/>
    <x v="2"/>
    <n v="0.39019354838709674"/>
  </r>
  <r>
    <s v="ORD0268"/>
    <d v="2024-03-23T00:00:00"/>
    <x v="3"/>
    <s v="Store A"/>
    <x v="2"/>
    <x v="7"/>
    <n v="5"/>
    <n v="785"/>
    <n v="3925"/>
    <n v="2041.46"/>
    <n v="1883.54"/>
    <x v="1"/>
    <s v="Card"/>
    <x v="3"/>
    <n v="0.47988280254777071"/>
  </r>
  <r>
    <s v="ORD0269"/>
    <d v="2024-08-21T00:00:00"/>
    <x v="3"/>
    <s v="Store A"/>
    <x v="0"/>
    <x v="0"/>
    <n v="3"/>
    <n v="472"/>
    <n v="1416"/>
    <n v="1103.6400000000001"/>
    <n v="312.36"/>
    <x v="1"/>
    <s v="Cash"/>
    <x v="5"/>
    <n v="0.22059322033898307"/>
  </r>
  <r>
    <s v="ORD0270"/>
    <d v="2024-06-15T00:00:00"/>
    <x v="1"/>
    <s v="Store A"/>
    <x v="0"/>
    <x v="2"/>
    <n v="1"/>
    <n v="990"/>
    <n v="990"/>
    <n v="696.1"/>
    <n v="293.89999999999998"/>
    <x v="0"/>
    <s v="UPI"/>
    <x v="7"/>
    <n v="0.29686868686868684"/>
  </r>
  <r>
    <s v="ORD0271"/>
    <d v="2024-04-26T00:00:00"/>
    <x v="0"/>
    <s v="Store C"/>
    <x v="1"/>
    <x v="4"/>
    <n v="3"/>
    <n v="788"/>
    <n v="2364"/>
    <n v="1450.75"/>
    <n v="913.25"/>
    <x v="1"/>
    <s v="Cash"/>
    <x v="6"/>
    <n v="0.38631556683587143"/>
  </r>
  <r>
    <s v="ORD0272"/>
    <d v="2024-01-20T00:00:00"/>
    <x v="2"/>
    <s v="Store A"/>
    <x v="2"/>
    <x v="6"/>
    <n v="8"/>
    <n v="830"/>
    <n v="6640"/>
    <n v="4541.7700000000004"/>
    <n v="2098.23"/>
    <x v="0"/>
    <s v="Cash"/>
    <x v="4"/>
    <n v="0.31599849397590363"/>
  </r>
  <r>
    <s v="ORD0273"/>
    <d v="2024-01-11T00:00:00"/>
    <x v="0"/>
    <s v="Store D"/>
    <x v="0"/>
    <x v="8"/>
    <n v="1"/>
    <n v="758"/>
    <n v="758"/>
    <n v="562.86"/>
    <n v="195.14"/>
    <x v="1"/>
    <s v="Online"/>
    <x v="4"/>
    <n v="0.25744063324538258"/>
  </r>
  <r>
    <s v="ORD0274"/>
    <d v="2024-06-04T00:00:00"/>
    <x v="1"/>
    <s v="Store C"/>
    <x v="0"/>
    <x v="2"/>
    <n v="3"/>
    <n v="490"/>
    <n v="1470"/>
    <n v="1095.97"/>
    <n v="374.03"/>
    <x v="1"/>
    <s v="Card"/>
    <x v="7"/>
    <n v="0.25444217687074827"/>
  </r>
  <r>
    <s v="ORD0275"/>
    <d v="2024-09-23T00:00:00"/>
    <x v="2"/>
    <s v="Store A"/>
    <x v="2"/>
    <x v="6"/>
    <n v="2"/>
    <n v="406"/>
    <n v="812"/>
    <n v="601.76"/>
    <n v="210.24"/>
    <x v="0"/>
    <s v="UPI"/>
    <x v="8"/>
    <n v="0.25891625615763547"/>
  </r>
  <r>
    <s v="ORD0276"/>
    <d v="2024-01-28T00:00:00"/>
    <x v="0"/>
    <s v="Store D"/>
    <x v="1"/>
    <x v="4"/>
    <n v="3"/>
    <n v="785"/>
    <n v="2355"/>
    <n v="1727.93"/>
    <n v="627.07000000000005"/>
    <x v="1"/>
    <s v="UPI"/>
    <x v="4"/>
    <n v="0.26627176220806797"/>
  </r>
  <r>
    <s v="ORD0277"/>
    <d v="2024-08-14T00:00:00"/>
    <x v="3"/>
    <s v="Store D"/>
    <x v="0"/>
    <x v="2"/>
    <n v="10"/>
    <n v="940"/>
    <n v="9400"/>
    <n v="5050.26"/>
    <n v="4349.74"/>
    <x v="0"/>
    <s v="UPI"/>
    <x v="5"/>
    <n v="0.46273829787234039"/>
  </r>
  <r>
    <s v="ORD0278"/>
    <d v="2024-07-01T00:00:00"/>
    <x v="2"/>
    <s v="Store B"/>
    <x v="1"/>
    <x v="5"/>
    <n v="8"/>
    <n v="768"/>
    <n v="6144"/>
    <n v="4749.3599999999997"/>
    <n v="1394.64"/>
    <x v="0"/>
    <s v="Online"/>
    <x v="1"/>
    <n v="0.22699218750000003"/>
  </r>
  <r>
    <s v="ORD0279"/>
    <d v="2024-03-06T00:00:00"/>
    <x v="2"/>
    <s v="Store C"/>
    <x v="0"/>
    <x v="0"/>
    <n v="8"/>
    <n v="104"/>
    <n v="832"/>
    <n v="450.48"/>
    <n v="381.52"/>
    <x v="1"/>
    <s v="UPI"/>
    <x v="3"/>
    <n v="0.45855769230769228"/>
  </r>
  <r>
    <s v="ORD0280"/>
    <d v="2024-06-24T00:00:00"/>
    <x v="3"/>
    <s v="Store B"/>
    <x v="2"/>
    <x v="7"/>
    <n v="8"/>
    <n v="455"/>
    <n v="3640"/>
    <n v="1903.48"/>
    <n v="1736.52"/>
    <x v="0"/>
    <s v="Card"/>
    <x v="7"/>
    <n v="0.47706593406593406"/>
  </r>
  <r>
    <s v="ORD0281"/>
    <d v="2024-06-07T00:00:00"/>
    <x v="3"/>
    <s v="Store B"/>
    <x v="0"/>
    <x v="8"/>
    <n v="6"/>
    <n v="960"/>
    <n v="5760"/>
    <n v="4208.3999999999996"/>
    <n v="1551.6"/>
    <x v="0"/>
    <s v="Cash"/>
    <x v="7"/>
    <n v="0.26937499999999998"/>
  </r>
  <r>
    <s v="ORD0282"/>
    <d v="2024-05-05T00:00:00"/>
    <x v="3"/>
    <s v="Store B"/>
    <x v="2"/>
    <x v="6"/>
    <n v="6"/>
    <n v="918"/>
    <n v="5508"/>
    <n v="3934.08"/>
    <n v="1573.92"/>
    <x v="1"/>
    <s v="Cash"/>
    <x v="9"/>
    <n v="0.2857516339869281"/>
  </r>
  <r>
    <s v="ORD0283"/>
    <d v="2024-03-13T00:00:00"/>
    <x v="1"/>
    <s v="Store A"/>
    <x v="2"/>
    <x v="7"/>
    <n v="4"/>
    <n v="949"/>
    <n v="3796"/>
    <n v="2186.69"/>
    <n v="1609.31"/>
    <x v="0"/>
    <s v="UPI"/>
    <x v="3"/>
    <n v="0.42394889357218124"/>
  </r>
  <r>
    <s v="ORD0284"/>
    <d v="2024-02-12T00:00:00"/>
    <x v="1"/>
    <s v="Store D"/>
    <x v="1"/>
    <x v="1"/>
    <n v="4"/>
    <n v="674"/>
    <n v="2696"/>
    <n v="1473.93"/>
    <n v="1222.07"/>
    <x v="1"/>
    <s v="Card"/>
    <x v="0"/>
    <n v="0.45329005934718097"/>
  </r>
  <r>
    <s v="ORD0285"/>
    <d v="2024-06-19T00:00:00"/>
    <x v="0"/>
    <s v="Store D"/>
    <x v="1"/>
    <x v="4"/>
    <n v="4"/>
    <n v="118"/>
    <n v="472"/>
    <n v="250.25"/>
    <n v="221.75"/>
    <x v="0"/>
    <s v="Card"/>
    <x v="7"/>
    <n v="0.4698093220338983"/>
  </r>
  <r>
    <s v="ORD0286"/>
    <d v="2024-03-20T00:00:00"/>
    <x v="3"/>
    <s v="Store B"/>
    <x v="2"/>
    <x v="7"/>
    <n v="5"/>
    <n v="251"/>
    <n v="1255"/>
    <n v="730.87"/>
    <n v="524.13"/>
    <x v="0"/>
    <s v="Card"/>
    <x v="3"/>
    <n v="0.41763346613545815"/>
  </r>
  <r>
    <s v="ORD0287"/>
    <d v="2024-01-09T00:00:00"/>
    <x v="1"/>
    <s v="Store D"/>
    <x v="0"/>
    <x v="0"/>
    <n v="2"/>
    <n v="251"/>
    <n v="502"/>
    <n v="280.26"/>
    <n v="221.74"/>
    <x v="1"/>
    <s v="Online"/>
    <x v="4"/>
    <n v="0.44171314741035861"/>
  </r>
  <r>
    <s v="ORD0288"/>
    <d v="2024-09-20T00:00:00"/>
    <x v="3"/>
    <s v="Store C"/>
    <x v="1"/>
    <x v="4"/>
    <n v="10"/>
    <n v="522"/>
    <n v="5220"/>
    <n v="4068.81"/>
    <n v="1151.19"/>
    <x v="0"/>
    <s v="Card"/>
    <x v="8"/>
    <n v="0.2205344827586207"/>
  </r>
  <r>
    <s v="ORD0289"/>
    <d v="2024-07-24T00:00:00"/>
    <x v="3"/>
    <s v="Store D"/>
    <x v="2"/>
    <x v="6"/>
    <n v="7"/>
    <n v="33"/>
    <n v="231"/>
    <n v="174.46"/>
    <n v="56.54"/>
    <x v="0"/>
    <s v="Cash"/>
    <x v="1"/>
    <n v="0.24476190476190476"/>
  </r>
  <r>
    <s v="ORD0290"/>
    <d v="2024-05-02T00:00:00"/>
    <x v="2"/>
    <s v="Store C"/>
    <x v="1"/>
    <x v="5"/>
    <n v="4"/>
    <n v="603"/>
    <n v="2412"/>
    <n v="1273.1500000000001"/>
    <n v="1138.8499999999999"/>
    <x v="0"/>
    <s v="Card"/>
    <x v="9"/>
    <n v="0.47216003316749583"/>
  </r>
  <r>
    <s v="ORD0291"/>
    <d v="2024-08-11T00:00:00"/>
    <x v="3"/>
    <s v="Store B"/>
    <x v="1"/>
    <x v="5"/>
    <n v="5"/>
    <n v="312"/>
    <n v="1560"/>
    <n v="860.96"/>
    <n v="699.04"/>
    <x v="1"/>
    <s v="Cash"/>
    <x v="5"/>
    <n v="0.4481025641025641"/>
  </r>
  <r>
    <s v="ORD0292"/>
    <d v="2024-02-05T00:00:00"/>
    <x v="1"/>
    <s v="Store D"/>
    <x v="0"/>
    <x v="2"/>
    <n v="8"/>
    <n v="897"/>
    <n v="7176"/>
    <n v="4026.52"/>
    <n v="3149.48"/>
    <x v="1"/>
    <s v="Card"/>
    <x v="0"/>
    <n v="0.4388907469342252"/>
  </r>
  <r>
    <s v="ORD0293"/>
    <d v="2024-07-31T00:00:00"/>
    <x v="0"/>
    <s v="Store A"/>
    <x v="0"/>
    <x v="8"/>
    <n v="6"/>
    <n v="471"/>
    <n v="2826"/>
    <n v="1928.91"/>
    <n v="897.09"/>
    <x v="1"/>
    <s v="Cash"/>
    <x v="1"/>
    <n v="0.31744161358811041"/>
  </r>
  <r>
    <s v="ORD0294"/>
    <d v="2024-07-24T00:00:00"/>
    <x v="3"/>
    <s v="Store D"/>
    <x v="0"/>
    <x v="0"/>
    <n v="4"/>
    <n v="887"/>
    <n v="3548"/>
    <n v="2174.79"/>
    <n v="1373.21"/>
    <x v="0"/>
    <s v="Online"/>
    <x v="1"/>
    <n v="0.38703776775648252"/>
  </r>
  <r>
    <s v="ORD0295"/>
    <d v="2024-06-30T00:00:00"/>
    <x v="2"/>
    <s v="Store D"/>
    <x v="0"/>
    <x v="2"/>
    <n v="3"/>
    <n v="586"/>
    <n v="1758"/>
    <n v="1317.63"/>
    <n v="440.37"/>
    <x v="0"/>
    <s v="Cash"/>
    <x v="7"/>
    <n v="0.2504948805460751"/>
  </r>
  <r>
    <s v="ORD0296"/>
    <d v="2024-01-20T00:00:00"/>
    <x v="2"/>
    <s v="Store A"/>
    <x v="0"/>
    <x v="2"/>
    <n v="6"/>
    <n v="726"/>
    <n v="4356"/>
    <n v="2700.77"/>
    <n v="1655.23"/>
    <x v="0"/>
    <s v="Cash"/>
    <x v="4"/>
    <n v="0.37998852157943069"/>
  </r>
  <r>
    <s v="ORD0297"/>
    <d v="2024-01-18T00:00:00"/>
    <x v="2"/>
    <s v="Store B"/>
    <x v="2"/>
    <x v="6"/>
    <n v="5"/>
    <n v="130"/>
    <n v="650"/>
    <n v="501.32"/>
    <n v="148.68"/>
    <x v="0"/>
    <s v="Online"/>
    <x v="4"/>
    <n v="0.22873846153846156"/>
  </r>
  <r>
    <s v="ORD0298"/>
    <d v="2024-09-12T00:00:00"/>
    <x v="0"/>
    <s v="Store D"/>
    <x v="1"/>
    <x v="4"/>
    <n v="6"/>
    <n v="515"/>
    <n v="3090"/>
    <n v="2233.16"/>
    <n v="856.84"/>
    <x v="0"/>
    <s v="UPI"/>
    <x v="8"/>
    <n v="0.27729449838187703"/>
  </r>
  <r>
    <s v="ORD0299"/>
    <d v="2024-02-09T00:00:00"/>
    <x v="0"/>
    <s v="Store D"/>
    <x v="1"/>
    <x v="4"/>
    <n v="7"/>
    <n v="697"/>
    <n v="4879"/>
    <n v="2640.52"/>
    <n v="2238.48"/>
    <x v="0"/>
    <s v="Cash"/>
    <x v="0"/>
    <n v="0.45879893420782947"/>
  </r>
  <r>
    <s v="ORD0300"/>
    <d v="2024-09-23T00:00:00"/>
    <x v="2"/>
    <s v="Store B"/>
    <x v="0"/>
    <x v="0"/>
    <n v="4"/>
    <n v="830"/>
    <n v="3320"/>
    <n v="2020.12"/>
    <n v="1299.8800000000001"/>
    <x v="1"/>
    <s v="Card"/>
    <x v="8"/>
    <n v="0.39153012048192776"/>
  </r>
  <r>
    <s v="ORD0301"/>
    <d v="2024-04-10T00:00:00"/>
    <x v="2"/>
    <s v="Store B"/>
    <x v="2"/>
    <x v="3"/>
    <n v="6"/>
    <n v="945"/>
    <n v="5670"/>
    <n v="3679.92"/>
    <n v="1990.08"/>
    <x v="1"/>
    <s v="Online"/>
    <x v="6"/>
    <n v="0.35098412698412695"/>
  </r>
  <r>
    <s v="ORD0302"/>
    <d v="2024-09-21T00:00:00"/>
    <x v="2"/>
    <s v="Store C"/>
    <x v="1"/>
    <x v="5"/>
    <n v="1"/>
    <n v="984"/>
    <n v="984"/>
    <n v="603.89"/>
    <n v="380.11"/>
    <x v="0"/>
    <s v="UPI"/>
    <x v="8"/>
    <n v="0.38629065040650407"/>
  </r>
  <r>
    <s v="ORD0303"/>
    <d v="2024-01-10T00:00:00"/>
    <x v="2"/>
    <s v="Store A"/>
    <x v="0"/>
    <x v="2"/>
    <n v="3"/>
    <n v="941"/>
    <n v="2823"/>
    <n v="1957.58"/>
    <n v="865.42"/>
    <x v="1"/>
    <s v="Card"/>
    <x v="4"/>
    <n v="0.30656039674105562"/>
  </r>
  <r>
    <s v="ORD0304"/>
    <d v="2024-05-08T00:00:00"/>
    <x v="2"/>
    <s v="Store D"/>
    <x v="2"/>
    <x v="7"/>
    <n v="8"/>
    <n v="342"/>
    <n v="2736"/>
    <n v="1783.9"/>
    <n v="952.1"/>
    <x v="0"/>
    <s v="Card"/>
    <x v="9"/>
    <n v="0.34798976608187138"/>
  </r>
  <r>
    <s v="ORD0305"/>
    <d v="2024-05-09T00:00:00"/>
    <x v="1"/>
    <s v="Store C"/>
    <x v="1"/>
    <x v="5"/>
    <n v="10"/>
    <n v="599"/>
    <n v="5990"/>
    <n v="3703.64"/>
    <n v="2286.36"/>
    <x v="1"/>
    <s v="Cash"/>
    <x v="9"/>
    <n v="0.38169616026711189"/>
  </r>
  <r>
    <s v="ORD0306"/>
    <d v="2024-02-02T00:00:00"/>
    <x v="2"/>
    <s v="Store D"/>
    <x v="2"/>
    <x v="6"/>
    <n v="4"/>
    <n v="404"/>
    <n v="1616"/>
    <n v="969.96"/>
    <n v="646.04"/>
    <x v="0"/>
    <s v="UPI"/>
    <x v="0"/>
    <n v="0.39977722772277224"/>
  </r>
  <r>
    <s v="ORD0307"/>
    <d v="2024-08-06T00:00:00"/>
    <x v="1"/>
    <s v="Store C"/>
    <x v="1"/>
    <x v="5"/>
    <n v="4"/>
    <n v="193"/>
    <n v="772"/>
    <n v="530.41"/>
    <n v="241.59"/>
    <x v="1"/>
    <s v="Cash"/>
    <x v="5"/>
    <n v="0.31294041450777205"/>
  </r>
  <r>
    <s v="ORD0308"/>
    <d v="2024-02-03T00:00:00"/>
    <x v="2"/>
    <s v="Store A"/>
    <x v="1"/>
    <x v="4"/>
    <n v="8"/>
    <n v="901"/>
    <n v="7208"/>
    <n v="5610.11"/>
    <n v="1597.89"/>
    <x v="0"/>
    <s v="Card"/>
    <x v="0"/>
    <n v="0.22168285238623753"/>
  </r>
  <r>
    <s v="ORD0309"/>
    <d v="2024-10-17T00:00:00"/>
    <x v="1"/>
    <s v="Store B"/>
    <x v="2"/>
    <x v="6"/>
    <n v="7"/>
    <n v="366"/>
    <n v="2562"/>
    <n v="1450.75"/>
    <n v="1111.25"/>
    <x v="0"/>
    <s v="Card"/>
    <x v="2"/>
    <n v="0.43374316939890711"/>
  </r>
  <r>
    <s v="ORD0310"/>
    <d v="2024-08-09T00:00:00"/>
    <x v="2"/>
    <s v="Store B"/>
    <x v="0"/>
    <x v="0"/>
    <n v="1"/>
    <n v="324"/>
    <n v="324"/>
    <n v="172.82"/>
    <n v="151.18"/>
    <x v="0"/>
    <s v="Cash"/>
    <x v="5"/>
    <n v="0.46660493827160499"/>
  </r>
  <r>
    <s v="ORD0311"/>
    <d v="2024-03-10T00:00:00"/>
    <x v="2"/>
    <s v="Store C"/>
    <x v="0"/>
    <x v="0"/>
    <n v="8"/>
    <n v="768"/>
    <n v="6144"/>
    <n v="3735.35"/>
    <n v="2408.65"/>
    <x v="1"/>
    <s v="Cash"/>
    <x v="3"/>
    <n v="0.39203287760416666"/>
  </r>
  <r>
    <s v="ORD0312"/>
    <d v="2024-10-21T00:00:00"/>
    <x v="1"/>
    <s v="Store C"/>
    <x v="1"/>
    <x v="1"/>
    <n v="6"/>
    <n v="777"/>
    <n v="4662"/>
    <n v="3457.24"/>
    <n v="1204.76"/>
    <x v="1"/>
    <s v="Cash"/>
    <x v="2"/>
    <n v="0.25842127842127843"/>
  </r>
  <r>
    <s v="ORD0313"/>
    <d v="2024-06-01T00:00:00"/>
    <x v="1"/>
    <s v="Store D"/>
    <x v="2"/>
    <x v="7"/>
    <n v="3"/>
    <n v="419"/>
    <n v="1257"/>
    <n v="805.19"/>
    <n v="451.81"/>
    <x v="0"/>
    <s v="Card"/>
    <x v="7"/>
    <n v="0.35943516308671442"/>
  </r>
  <r>
    <s v="ORD0314"/>
    <d v="2024-02-19T00:00:00"/>
    <x v="3"/>
    <s v="Store C"/>
    <x v="1"/>
    <x v="5"/>
    <n v="6"/>
    <n v="472"/>
    <n v="2832"/>
    <n v="1896"/>
    <n v="936"/>
    <x v="1"/>
    <s v="Online"/>
    <x v="0"/>
    <n v="0.33050847457627119"/>
  </r>
  <r>
    <s v="ORD0315"/>
    <d v="2024-02-29T00:00:00"/>
    <x v="2"/>
    <s v="Store B"/>
    <x v="0"/>
    <x v="8"/>
    <n v="3"/>
    <n v="592"/>
    <n v="1776"/>
    <n v="1080.01"/>
    <n v="695.99"/>
    <x v="1"/>
    <s v="Cash"/>
    <x v="0"/>
    <n v="0.39188626126126125"/>
  </r>
  <r>
    <s v="ORD0316"/>
    <d v="2024-05-13T00:00:00"/>
    <x v="3"/>
    <s v="Store B"/>
    <x v="1"/>
    <x v="1"/>
    <n v="9"/>
    <n v="559"/>
    <n v="5031"/>
    <n v="2751.06"/>
    <n v="2279.94"/>
    <x v="1"/>
    <s v="UPI"/>
    <x v="9"/>
    <n v="0.45317829457364345"/>
  </r>
  <r>
    <s v="ORD0317"/>
    <d v="2024-02-23T00:00:00"/>
    <x v="3"/>
    <s v="Store A"/>
    <x v="1"/>
    <x v="5"/>
    <n v="6"/>
    <n v="267"/>
    <n v="1602"/>
    <n v="1207.6400000000001"/>
    <n v="394.36"/>
    <x v="1"/>
    <s v="Cash"/>
    <x v="0"/>
    <n v="0.24616729088639203"/>
  </r>
  <r>
    <s v="ORD0318"/>
    <d v="2024-08-26T00:00:00"/>
    <x v="1"/>
    <s v="Store C"/>
    <x v="1"/>
    <x v="4"/>
    <n v="4"/>
    <n v="952"/>
    <n v="3808"/>
    <n v="1923.09"/>
    <n v="1884.91"/>
    <x v="0"/>
    <s v="Online"/>
    <x v="5"/>
    <n v="0.49498686974789918"/>
  </r>
  <r>
    <s v="ORD0319"/>
    <d v="2024-06-25T00:00:00"/>
    <x v="2"/>
    <s v="Store D"/>
    <x v="2"/>
    <x v="6"/>
    <n v="2"/>
    <n v="132"/>
    <n v="264"/>
    <n v="170.69"/>
    <n v="93.31"/>
    <x v="0"/>
    <s v="Online"/>
    <x v="7"/>
    <n v="0.3534469696969697"/>
  </r>
  <r>
    <s v="ORD0320"/>
    <d v="2024-02-26T00:00:00"/>
    <x v="1"/>
    <s v="Store B"/>
    <x v="0"/>
    <x v="2"/>
    <n v="5"/>
    <n v="279"/>
    <n v="1395"/>
    <n v="1099.3699999999999"/>
    <n v="295.63"/>
    <x v="0"/>
    <s v="Online"/>
    <x v="0"/>
    <n v="0.21192114695340503"/>
  </r>
  <r>
    <s v="ORD0321"/>
    <d v="2024-02-19T00:00:00"/>
    <x v="0"/>
    <s v="Store A"/>
    <x v="1"/>
    <x v="5"/>
    <n v="10"/>
    <n v="595"/>
    <n v="5950"/>
    <n v="3097.96"/>
    <n v="2852.04"/>
    <x v="1"/>
    <s v="Card"/>
    <x v="0"/>
    <n v="0.47933445378151263"/>
  </r>
  <r>
    <s v="ORD0322"/>
    <d v="2024-05-23T00:00:00"/>
    <x v="0"/>
    <s v="Store D"/>
    <x v="1"/>
    <x v="1"/>
    <n v="1"/>
    <n v="333"/>
    <n v="333"/>
    <n v="264.85000000000002"/>
    <n v="68.150000000000006"/>
    <x v="0"/>
    <s v="Online"/>
    <x v="9"/>
    <n v="0.20465465465465468"/>
  </r>
  <r>
    <s v="ORD0323"/>
    <d v="2024-07-22T00:00:00"/>
    <x v="3"/>
    <s v="Store C"/>
    <x v="0"/>
    <x v="0"/>
    <n v="9"/>
    <n v="156"/>
    <n v="1404"/>
    <n v="826.38"/>
    <n v="577.62"/>
    <x v="0"/>
    <s v="Online"/>
    <x v="1"/>
    <n v="0.41141025641025641"/>
  </r>
  <r>
    <s v="ORD0324"/>
    <d v="2024-09-01T00:00:00"/>
    <x v="2"/>
    <s v="Store D"/>
    <x v="1"/>
    <x v="4"/>
    <n v="7"/>
    <n v="497"/>
    <n v="3479"/>
    <n v="2767.19"/>
    <n v="711.81"/>
    <x v="0"/>
    <s v="UPI"/>
    <x v="8"/>
    <n v="0.20460189709686691"/>
  </r>
  <r>
    <s v="ORD0325"/>
    <d v="2024-06-05T00:00:00"/>
    <x v="3"/>
    <s v="Store C"/>
    <x v="1"/>
    <x v="1"/>
    <n v="2"/>
    <n v="873"/>
    <n v="1746"/>
    <n v="888.18"/>
    <n v="857.82"/>
    <x v="1"/>
    <s v="Cash"/>
    <x v="7"/>
    <n v="0.49130584192439863"/>
  </r>
  <r>
    <s v="ORD0326"/>
    <d v="2024-03-31T00:00:00"/>
    <x v="3"/>
    <s v="Store B"/>
    <x v="1"/>
    <x v="1"/>
    <n v="5"/>
    <n v="886"/>
    <n v="4430"/>
    <n v="2421.84"/>
    <n v="2008.16"/>
    <x v="1"/>
    <s v="Card"/>
    <x v="3"/>
    <n v="0.45330925507900677"/>
  </r>
  <r>
    <s v="ORD0327"/>
    <d v="2024-07-29T00:00:00"/>
    <x v="2"/>
    <s v="Store A"/>
    <x v="0"/>
    <x v="8"/>
    <n v="7"/>
    <n v="931"/>
    <n v="6517"/>
    <n v="4823.42"/>
    <n v="1693.58"/>
    <x v="1"/>
    <s v="Card"/>
    <x v="1"/>
    <n v="0.25987110633727173"/>
  </r>
  <r>
    <s v="ORD0328"/>
    <d v="2024-03-25T00:00:00"/>
    <x v="0"/>
    <s v="Store C"/>
    <x v="2"/>
    <x v="7"/>
    <n v="1"/>
    <n v="634"/>
    <n v="634"/>
    <n v="356.76"/>
    <n v="277.24"/>
    <x v="0"/>
    <s v="Card"/>
    <x v="3"/>
    <n v="0.43728706624605679"/>
  </r>
  <r>
    <s v="ORD0329"/>
    <d v="2024-04-21T00:00:00"/>
    <x v="0"/>
    <s v="Store C"/>
    <x v="1"/>
    <x v="4"/>
    <n v="3"/>
    <n v="268"/>
    <n v="804"/>
    <n v="559.55999999999995"/>
    <n v="244.44"/>
    <x v="0"/>
    <s v="UPI"/>
    <x v="6"/>
    <n v="0.30402985074626865"/>
  </r>
  <r>
    <s v="ORD0330"/>
    <d v="2024-01-24T00:00:00"/>
    <x v="3"/>
    <s v="Store D"/>
    <x v="0"/>
    <x v="0"/>
    <n v="8"/>
    <n v="342"/>
    <n v="2736"/>
    <n v="1967.68"/>
    <n v="768.32"/>
    <x v="1"/>
    <s v="Card"/>
    <x v="4"/>
    <n v="0.28081871345029241"/>
  </r>
  <r>
    <s v="ORD0331"/>
    <d v="2024-09-01T00:00:00"/>
    <x v="1"/>
    <s v="Store A"/>
    <x v="2"/>
    <x v="6"/>
    <n v="3"/>
    <n v="57"/>
    <n v="171"/>
    <n v="136.5"/>
    <n v="34.5"/>
    <x v="0"/>
    <s v="Card"/>
    <x v="8"/>
    <n v="0.20175438596491227"/>
  </r>
  <r>
    <s v="ORD0332"/>
    <d v="2024-09-13T00:00:00"/>
    <x v="0"/>
    <s v="Store B"/>
    <x v="0"/>
    <x v="8"/>
    <n v="3"/>
    <n v="276"/>
    <n v="828"/>
    <n v="479.19"/>
    <n v="348.81"/>
    <x v="0"/>
    <s v="Online"/>
    <x v="8"/>
    <n v="0.42126811594202901"/>
  </r>
  <r>
    <s v="ORD0333"/>
    <d v="2024-08-31T00:00:00"/>
    <x v="0"/>
    <s v="Store D"/>
    <x v="2"/>
    <x v="7"/>
    <n v="8"/>
    <n v="689"/>
    <n v="5512"/>
    <n v="3073.55"/>
    <n v="2438.4499999999998"/>
    <x v="1"/>
    <s v="Card"/>
    <x v="5"/>
    <n v="0.4423893323657474"/>
  </r>
  <r>
    <s v="ORD0334"/>
    <d v="2024-07-29T00:00:00"/>
    <x v="1"/>
    <s v="Store A"/>
    <x v="1"/>
    <x v="1"/>
    <n v="4"/>
    <n v="375"/>
    <n v="1500"/>
    <n v="1014.07"/>
    <n v="485.93"/>
    <x v="1"/>
    <s v="Cash"/>
    <x v="1"/>
    <n v="0.32395333333333332"/>
  </r>
  <r>
    <s v="ORD0335"/>
    <d v="2024-03-31T00:00:00"/>
    <x v="2"/>
    <s v="Store D"/>
    <x v="2"/>
    <x v="7"/>
    <n v="3"/>
    <n v="993"/>
    <n v="2979"/>
    <n v="2250.2199999999998"/>
    <n v="728.78"/>
    <x v="1"/>
    <s v="Cash"/>
    <x v="3"/>
    <n v="0.24463914065122525"/>
  </r>
  <r>
    <s v="ORD0336"/>
    <d v="2024-04-03T00:00:00"/>
    <x v="3"/>
    <s v="Store D"/>
    <x v="2"/>
    <x v="6"/>
    <n v="10"/>
    <n v="812"/>
    <n v="8120"/>
    <n v="5681.33"/>
    <n v="2438.67"/>
    <x v="1"/>
    <s v="Online"/>
    <x v="6"/>
    <n v="0.30032881773399017"/>
  </r>
  <r>
    <s v="ORD0337"/>
    <d v="2024-09-17T00:00:00"/>
    <x v="3"/>
    <s v="Store B"/>
    <x v="0"/>
    <x v="2"/>
    <n v="7"/>
    <n v="42"/>
    <n v="294"/>
    <n v="183.62"/>
    <n v="110.38"/>
    <x v="1"/>
    <s v="Online"/>
    <x v="8"/>
    <n v="0.37544217687074827"/>
  </r>
  <r>
    <s v="ORD0338"/>
    <d v="2024-07-01T00:00:00"/>
    <x v="2"/>
    <s v="Store A"/>
    <x v="0"/>
    <x v="2"/>
    <n v="1"/>
    <n v="223"/>
    <n v="223"/>
    <n v="160.76"/>
    <n v="62.24"/>
    <x v="1"/>
    <s v="Card"/>
    <x v="1"/>
    <n v="0.27910313901345291"/>
  </r>
  <r>
    <s v="ORD0339"/>
    <d v="2024-04-12T00:00:00"/>
    <x v="1"/>
    <s v="Store B"/>
    <x v="0"/>
    <x v="8"/>
    <n v="5"/>
    <n v="760"/>
    <n v="3800"/>
    <n v="2215.48"/>
    <n v="1584.52"/>
    <x v="1"/>
    <s v="UPI"/>
    <x v="6"/>
    <n v="0.41697894736842106"/>
  </r>
  <r>
    <s v="ORD0340"/>
    <d v="2024-06-27T00:00:00"/>
    <x v="0"/>
    <s v="Store C"/>
    <x v="2"/>
    <x v="6"/>
    <n v="3"/>
    <n v="356"/>
    <n v="1068"/>
    <n v="553.29"/>
    <n v="514.71"/>
    <x v="1"/>
    <s v="UPI"/>
    <x v="7"/>
    <n v="0.48193820224719103"/>
  </r>
  <r>
    <s v="ORD0341"/>
    <d v="2024-10-17T00:00:00"/>
    <x v="2"/>
    <s v="Store A"/>
    <x v="2"/>
    <x v="3"/>
    <n v="3"/>
    <n v="831"/>
    <n v="2493"/>
    <n v="1723.92"/>
    <n v="769.08"/>
    <x v="0"/>
    <s v="UPI"/>
    <x v="2"/>
    <n v="0.30849578820697954"/>
  </r>
  <r>
    <s v="ORD0342"/>
    <d v="2024-10-20T00:00:00"/>
    <x v="1"/>
    <s v="Store A"/>
    <x v="1"/>
    <x v="1"/>
    <n v="10"/>
    <n v="808"/>
    <n v="8080"/>
    <n v="5452.05"/>
    <n v="2627.95"/>
    <x v="0"/>
    <s v="Card"/>
    <x v="2"/>
    <n v="0.32524133663366334"/>
  </r>
  <r>
    <s v="ORD0343"/>
    <d v="2024-10-19T00:00:00"/>
    <x v="2"/>
    <s v="Store D"/>
    <x v="0"/>
    <x v="8"/>
    <n v="6"/>
    <n v="804"/>
    <n v="4824"/>
    <n v="3426.26"/>
    <n v="1397.74"/>
    <x v="1"/>
    <s v="UPI"/>
    <x v="2"/>
    <n v="0.28974709784411279"/>
  </r>
  <r>
    <s v="ORD0344"/>
    <d v="2024-10-17T00:00:00"/>
    <x v="1"/>
    <s v="Store D"/>
    <x v="1"/>
    <x v="1"/>
    <n v="4"/>
    <n v="94"/>
    <n v="376"/>
    <n v="209.74"/>
    <n v="166.26"/>
    <x v="0"/>
    <s v="UPI"/>
    <x v="2"/>
    <n v="0.44218085106382976"/>
  </r>
  <r>
    <s v="ORD0345"/>
    <d v="2024-02-13T00:00:00"/>
    <x v="2"/>
    <s v="Store D"/>
    <x v="2"/>
    <x v="7"/>
    <n v="8"/>
    <n v="513"/>
    <n v="4104"/>
    <n v="2819.54"/>
    <n v="1284.46"/>
    <x v="0"/>
    <s v="Online"/>
    <x v="0"/>
    <n v="0.31297758284600391"/>
  </r>
  <r>
    <s v="ORD0346"/>
    <d v="2024-07-20T00:00:00"/>
    <x v="0"/>
    <s v="Store D"/>
    <x v="0"/>
    <x v="0"/>
    <n v="6"/>
    <n v="428"/>
    <n v="2568"/>
    <n v="1385.72"/>
    <n v="1182.28"/>
    <x v="0"/>
    <s v="UPI"/>
    <x v="1"/>
    <n v="0.46038940809968848"/>
  </r>
  <r>
    <s v="ORD0347"/>
    <d v="2024-06-02T00:00:00"/>
    <x v="1"/>
    <s v="Store C"/>
    <x v="2"/>
    <x v="7"/>
    <n v="6"/>
    <n v="203"/>
    <n v="1218"/>
    <n v="773.6"/>
    <n v="444.4"/>
    <x v="1"/>
    <s v="Cash"/>
    <x v="7"/>
    <n v="0.36486042692939241"/>
  </r>
  <r>
    <s v="ORD0348"/>
    <d v="2024-04-22T00:00:00"/>
    <x v="2"/>
    <s v="Store A"/>
    <x v="2"/>
    <x v="6"/>
    <n v="4"/>
    <n v="261"/>
    <n v="1044"/>
    <n v="538.67999999999995"/>
    <n v="505.32"/>
    <x v="1"/>
    <s v="Card"/>
    <x v="6"/>
    <n v="0.4840229885057471"/>
  </r>
  <r>
    <s v="ORD0349"/>
    <d v="2024-08-12T00:00:00"/>
    <x v="3"/>
    <s v="Store D"/>
    <x v="2"/>
    <x v="6"/>
    <n v="6"/>
    <n v="463"/>
    <n v="2778"/>
    <n v="1996.99"/>
    <n v="781.01"/>
    <x v="0"/>
    <s v="Online"/>
    <x v="5"/>
    <n v="0.2811411087113031"/>
  </r>
  <r>
    <s v="ORD0350"/>
    <d v="2024-02-14T00:00:00"/>
    <x v="3"/>
    <s v="Store C"/>
    <x v="0"/>
    <x v="0"/>
    <n v="6"/>
    <n v="534"/>
    <n v="3204"/>
    <n v="2407.6"/>
    <n v="796.4"/>
    <x v="0"/>
    <s v="UPI"/>
    <x v="0"/>
    <n v="0.24856429463171034"/>
  </r>
  <r>
    <s v="ORD0351"/>
    <d v="2024-02-13T00:00:00"/>
    <x v="3"/>
    <s v="Store A"/>
    <x v="2"/>
    <x v="7"/>
    <n v="10"/>
    <n v="867"/>
    <n v="8670"/>
    <n v="5440.87"/>
    <n v="3229.13"/>
    <x v="0"/>
    <s v="Online"/>
    <x v="0"/>
    <n v="0.37244867358708189"/>
  </r>
  <r>
    <s v="ORD0352"/>
    <d v="2024-01-03T00:00:00"/>
    <x v="1"/>
    <s v="Store A"/>
    <x v="0"/>
    <x v="8"/>
    <n v="3"/>
    <n v="984"/>
    <n v="2952"/>
    <n v="1805.74"/>
    <n v="1146.26"/>
    <x v="0"/>
    <s v="Online"/>
    <x v="4"/>
    <n v="0.38829945799457993"/>
  </r>
  <r>
    <s v="ORD0353"/>
    <d v="2024-03-10T00:00:00"/>
    <x v="0"/>
    <s v="Store A"/>
    <x v="0"/>
    <x v="8"/>
    <n v="10"/>
    <n v="295"/>
    <n v="2950"/>
    <n v="1562.59"/>
    <n v="1387.41"/>
    <x v="1"/>
    <s v="Online"/>
    <x v="3"/>
    <n v="0.47030847457627123"/>
  </r>
  <r>
    <s v="ORD0354"/>
    <d v="2024-04-08T00:00:00"/>
    <x v="0"/>
    <s v="Store B"/>
    <x v="1"/>
    <x v="4"/>
    <n v="6"/>
    <n v="413"/>
    <n v="2478"/>
    <n v="1565.73"/>
    <n v="912.27"/>
    <x v="0"/>
    <s v="Cash"/>
    <x v="6"/>
    <n v="0.36814769975786926"/>
  </r>
  <r>
    <s v="ORD0355"/>
    <d v="2024-03-03T00:00:00"/>
    <x v="1"/>
    <s v="Store B"/>
    <x v="0"/>
    <x v="8"/>
    <n v="4"/>
    <n v="562"/>
    <n v="2248"/>
    <n v="1293.77"/>
    <n v="954.23"/>
    <x v="0"/>
    <s v="UPI"/>
    <x v="3"/>
    <n v="0.42447953736654803"/>
  </r>
  <r>
    <s v="ORD0356"/>
    <d v="2024-05-23T00:00:00"/>
    <x v="1"/>
    <s v="Store B"/>
    <x v="0"/>
    <x v="8"/>
    <n v="4"/>
    <n v="918"/>
    <n v="3672"/>
    <n v="1917.85"/>
    <n v="1754.15"/>
    <x v="0"/>
    <s v="UPI"/>
    <x v="9"/>
    <n v="0.47770969498910676"/>
  </r>
  <r>
    <s v="ORD0357"/>
    <d v="2024-06-01T00:00:00"/>
    <x v="2"/>
    <s v="Store C"/>
    <x v="2"/>
    <x v="7"/>
    <n v="2"/>
    <n v="940"/>
    <n v="1880"/>
    <n v="1418.07"/>
    <n v="461.93"/>
    <x v="1"/>
    <s v="Online"/>
    <x v="7"/>
    <n v="0.24570744680851064"/>
  </r>
  <r>
    <s v="ORD0358"/>
    <d v="2024-06-07T00:00:00"/>
    <x v="3"/>
    <s v="Store C"/>
    <x v="0"/>
    <x v="2"/>
    <n v="7"/>
    <n v="203"/>
    <n v="1421"/>
    <n v="835.98"/>
    <n v="585.02"/>
    <x v="0"/>
    <s v="Card"/>
    <x v="7"/>
    <n v="0.4116959887403237"/>
  </r>
  <r>
    <s v="ORD0359"/>
    <d v="2024-03-23T00:00:00"/>
    <x v="3"/>
    <s v="Store D"/>
    <x v="2"/>
    <x v="6"/>
    <n v="9"/>
    <n v="614"/>
    <n v="5526"/>
    <n v="3724.29"/>
    <n v="1801.71"/>
    <x v="0"/>
    <s v="Online"/>
    <x v="3"/>
    <n v="0.32604234527687298"/>
  </r>
  <r>
    <s v="ORD0360"/>
    <d v="2024-09-23T00:00:00"/>
    <x v="0"/>
    <s v="Store B"/>
    <x v="2"/>
    <x v="7"/>
    <n v="2"/>
    <n v="737"/>
    <n v="1474"/>
    <n v="806.69"/>
    <n v="667.31"/>
    <x v="1"/>
    <s v="Cash"/>
    <x v="8"/>
    <n v="0.45272048846675711"/>
  </r>
  <r>
    <s v="ORD0361"/>
    <d v="2024-03-11T00:00:00"/>
    <x v="0"/>
    <s v="Store D"/>
    <x v="1"/>
    <x v="5"/>
    <n v="6"/>
    <n v="597"/>
    <n v="3582"/>
    <n v="2494.2199999999998"/>
    <n v="1087.78"/>
    <x v="1"/>
    <s v="Card"/>
    <x v="3"/>
    <n v="0.30367950865438303"/>
  </r>
  <r>
    <s v="ORD0362"/>
    <d v="2024-02-20T00:00:00"/>
    <x v="2"/>
    <s v="Store A"/>
    <x v="2"/>
    <x v="6"/>
    <n v="6"/>
    <n v="95"/>
    <n v="570"/>
    <n v="296.61"/>
    <n v="273.39"/>
    <x v="1"/>
    <s v="UPI"/>
    <x v="0"/>
    <n v="0.47963157894736841"/>
  </r>
  <r>
    <s v="ORD0363"/>
    <d v="2024-02-12T00:00:00"/>
    <x v="3"/>
    <s v="Store D"/>
    <x v="1"/>
    <x v="4"/>
    <n v="10"/>
    <n v="64"/>
    <n v="640"/>
    <n v="348.79"/>
    <n v="291.20999999999998"/>
    <x v="0"/>
    <s v="UPI"/>
    <x v="0"/>
    <n v="0.45501562499999998"/>
  </r>
  <r>
    <s v="ORD0364"/>
    <d v="2024-08-10T00:00:00"/>
    <x v="1"/>
    <s v="Store D"/>
    <x v="0"/>
    <x v="0"/>
    <n v="8"/>
    <n v="609"/>
    <n v="4872"/>
    <n v="2555.6"/>
    <n v="2316.4"/>
    <x v="1"/>
    <s v="Cash"/>
    <x v="5"/>
    <n v="0.47545155993431859"/>
  </r>
  <r>
    <s v="ORD0365"/>
    <d v="2024-03-26T00:00:00"/>
    <x v="0"/>
    <s v="Store A"/>
    <x v="0"/>
    <x v="2"/>
    <n v="6"/>
    <n v="115"/>
    <n v="690"/>
    <n v="364.63"/>
    <n v="325.37"/>
    <x v="0"/>
    <s v="Online"/>
    <x v="3"/>
    <n v="0.47155072463768116"/>
  </r>
  <r>
    <s v="ORD0366"/>
    <d v="2024-03-20T00:00:00"/>
    <x v="0"/>
    <s v="Store B"/>
    <x v="1"/>
    <x v="4"/>
    <n v="7"/>
    <n v="175"/>
    <n v="1225"/>
    <n v="893.34"/>
    <n v="331.66"/>
    <x v="0"/>
    <s v="Cash"/>
    <x v="3"/>
    <n v="0.27074285714285717"/>
  </r>
  <r>
    <s v="ORD0367"/>
    <d v="2024-08-24T00:00:00"/>
    <x v="3"/>
    <s v="Store C"/>
    <x v="2"/>
    <x v="3"/>
    <n v="7"/>
    <n v="675"/>
    <n v="4725"/>
    <n v="2513.04"/>
    <n v="2211.96"/>
    <x v="1"/>
    <s v="Online"/>
    <x v="5"/>
    <n v="0.46813968253968252"/>
  </r>
  <r>
    <s v="ORD0368"/>
    <d v="2024-06-25T00:00:00"/>
    <x v="0"/>
    <s v="Store D"/>
    <x v="0"/>
    <x v="8"/>
    <n v="2"/>
    <n v="890"/>
    <n v="1780"/>
    <n v="966.07"/>
    <n v="813.93"/>
    <x v="0"/>
    <s v="UPI"/>
    <x v="7"/>
    <n v="0.45726404494382017"/>
  </r>
  <r>
    <s v="ORD0369"/>
    <d v="2024-08-01T00:00:00"/>
    <x v="2"/>
    <s v="Store C"/>
    <x v="1"/>
    <x v="5"/>
    <n v="7"/>
    <n v="171"/>
    <n v="1197"/>
    <n v="954.03"/>
    <n v="242.97"/>
    <x v="0"/>
    <s v="Online"/>
    <x v="5"/>
    <n v="0.20298245614035088"/>
  </r>
  <r>
    <s v="ORD0370"/>
    <d v="2024-10-12T00:00:00"/>
    <x v="3"/>
    <s v="Store A"/>
    <x v="2"/>
    <x v="7"/>
    <n v="6"/>
    <n v="59"/>
    <n v="354"/>
    <n v="221.41"/>
    <n v="132.59"/>
    <x v="0"/>
    <s v="Cash"/>
    <x v="2"/>
    <n v="0.37454802259887005"/>
  </r>
  <r>
    <s v="ORD0371"/>
    <d v="2024-05-11T00:00:00"/>
    <x v="3"/>
    <s v="Store A"/>
    <x v="0"/>
    <x v="8"/>
    <n v="1"/>
    <n v="220"/>
    <n v="220"/>
    <n v="110.41"/>
    <n v="109.59"/>
    <x v="0"/>
    <s v="Online"/>
    <x v="9"/>
    <n v="0.49813636363636365"/>
  </r>
  <r>
    <s v="ORD0372"/>
    <d v="2024-08-29T00:00:00"/>
    <x v="1"/>
    <s v="Store C"/>
    <x v="0"/>
    <x v="2"/>
    <n v="9"/>
    <n v="312"/>
    <n v="2808"/>
    <n v="1443.5"/>
    <n v="1364.5"/>
    <x v="0"/>
    <s v="UPI"/>
    <x v="5"/>
    <n v="0.48593304843304841"/>
  </r>
  <r>
    <s v="ORD0373"/>
    <d v="2024-08-30T00:00:00"/>
    <x v="3"/>
    <s v="Store A"/>
    <x v="1"/>
    <x v="5"/>
    <n v="2"/>
    <n v="123"/>
    <n v="246"/>
    <n v="131.62"/>
    <n v="114.38"/>
    <x v="1"/>
    <s v="Online"/>
    <x v="5"/>
    <n v="0.46495934959349594"/>
  </r>
  <r>
    <s v="ORD0374"/>
    <d v="2024-04-28T00:00:00"/>
    <x v="3"/>
    <s v="Store A"/>
    <x v="2"/>
    <x v="7"/>
    <n v="3"/>
    <n v="632"/>
    <n v="1896"/>
    <n v="1055.48"/>
    <n v="840.52"/>
    <x v="1"/>
    <s v="Cash"/>
    <x v="6"/>
    <n v="0.44331223628691985"/>
  </r>
  <r>
    <s v="ORD0375"/>
    <d v="2024-10-26T00:00:00"/>
    <x v="3"/>
    <s v="Store A"/>
    <x v="0"/>
    <x v="0"/>
    <n v="9"/>
    <n v="967"/>
    <n v="8703"/>
    <n v="6837.73"/>
    <n v="1865.27"/>
    <x v="1"/>
    <s v="Online"/>
    <x v="2"/>
    <n v="0.21432494542111916"/>
  </r>
  <r>
    <s v="ORD0376"/>
    <d v="2024-10-16T00:00:00"/>
    <x v="3"/>
    <s v="Store C"/>
    <x v="0"/>
    <x v="0"/>
    <n v="4"/>
    <n v="479"/>
    <n v="1916"/>
    <n v="1214.03"/>
    <n v="701.97"/>
    <x v="0"/>
    <s v="UPI"/>
    <x v="2"/>
    <n v="0.36637265135699376"/>
  </r>
  <r>
    <s v="ORD0377"/>
    <d v="2024-01-13T00:00:00"/>
    <x v="3"/>
    <s v="Store C"/>
    <x v="0"/>
    <x v="2"/>
    <n v="6"/>
    <n v="809"/>
    <n v="4854"/>
    <n v="3583.7"/>
    <n v="1270.3"/>
    <x v="1"/>
    <s v="Cash"/>
    <x v="4"/>
    <n v="0.26170168932838894"/>
  </r>
  <r>
    <s v="ORD0378"/>
    <d v="2024-10-24T00:00:00"/>
    <x v="0"/>
    <s v="Store B"/>
    <x v="2"/>
    <x v="6"/>
    <n v="4"/>
    <n v="934"/>
    <n v="3736"/>
    <n v="2287.9299999999998"/>
    <n v="1448.07"/>
    <x v="1"/>
    <s v="Card"/>
    <x v="2"/>
    <n v="0.3875990364025696"/>
  </r>
  <r>
    <s v="ORD0379"/>
    <d v="2024-08-04T00:00:00"/>
    <x v="1"/>
    <s v="Store C"/>
    <x v="0"/>
    <x v="0"/>
    <n v="8"/>
    <n v="509"/>
    <n v="4072"/>
    <n v="3184.96"/>
    <n v="887.04"/>
    <x v="1"/>
    <s v="Online"/>
    <x v="5"/>
    <n v="0.21783889980353632"/>
  </r>
  <r>
    <s v="ORD0380"/>
    <d v="2024-10-06T00:00:00"/>
    <x v="2"/>
    <s v="Store B"/>
    <x v="1"/>
    <x v="1"/>
    <n v="3"/>
    <n v="621"/>
    <n v="1863"/>
    <n v="1352.51"/>
    <n v="510.49"/>
    <x v="1"/>
    <s v="Card"/>
    <x v="2"/>
    <n v="0.27401502952227591"/>
  </r>
  <r>
    <s v="ORD0381"/>
    <d v="2024-06-02T00:00:00"/>
    <x v="3"/>
    <s v="Store D"/>
    <x v="0"/>
    <x v="8"/>
    <n v="10"/>
    <n v="498"/>
    <n v="4980"/>
    <n v="3611.61"/>
    <n v="1368.39"/>
    <x v="1"/>
    <s v="Card"/>
    <x v="7"/>
    <n v="0.27477710843373498"/>
  </r>
  <r>
    <s v="ORD0382"/>
    <d v="2024-08-04T00:00:00"/>
    <x v="1"/>
    <s v="Store A"/>
    <x v="1"/>
    <x v="5"/>
    <n v="10"/>
    <n v="597"/>
    <n v="5970"/>
    <n v="3415.95"/>
    <n v="2554.0500000000002"/>
    <x v="0"/>
    <s v="Cash"/>
    <x v="5"/>
    <n v="0.42781407035175884"/>
  </r>
  <r>
    <s v="ORD0383"/>
    <d v="2024-05-21T00:00:00"/>
    <x v="3"/>
    <s v="Store A"/>
    <x v="2"/>
    <x v="3"/>
    <n v="6"/>
    <n v="228"/>
    <n v="1368"/>
    <n v="708.94"/>
    <n v="659.06"/>
    <x v="1"/>
    <s v="Online"/>
    <x v="9"/>
    <n v="0.48176900584795318"/>
  </r>
  <r>
    <s v="ORD0384"/>
    <d v="2024-02-05T00:00:00"/>
    <x v="2"/>
    <s v="Store C"/>
    <x v="1"/>
    <x v="1"/>
    <n v="3"/>
    <n v="537"/>
    <n v="1611"/>
    <n v="1147.5999999999999"/>
    <n v="463.4"/>
    <x v="1"/>
    <s v="Cash"/>
    <x v="0"/>
    <n v="0.2876474239602731"/>
  </r>
  <r>
    <s v="ORD0385"/>
    <d v="2024-05-09T00:00:00"/>
    <x v="1"/>
    <s v="Store A"/>
    <x v="1"/>
    <x v="1"/>
    <n v="9"/>
    <n v="607"/>
    <n v="5463"/>
    <n v="4111.03"/>
    <n v="1351.97"/>
    <x v="0"/>
    <s v="Card"/>
    <x v="9"/>
    <n v="0.24747757642321069"/>
  </r>
  <r>
    <s v="ORD0386"/>
    <d v="2024-04-08T00:00:00"/>
    <x v="3"/>
    <s v="Store D"/>
    <x v="0"/>
    <x v="0"/>
    <n v="5"/>
    <n v="62"/>
    <n v="310"/>
    <n v="158.85"/>
    <n v="151.15"/>
    <x v="0"/>
    <s v="Online"/>
    <x v="6"/>
    <n v="0.48758064516129035"/>
  </r>
  <r>
    <s v="ORD0387"/>
    <d v="2024-02-11T00:00:00"/>
    <x v="2"/>
    <s v="Store C"/>
    <x v="1"/>
    <x v="4"/>
    <n v="6"/>
    <n v="322"/>
    <n v="1932"/>
    <n v="1261.4000000000001"/>
    <n v="670.6"/>
    <x v="0"/>
    <s v="UPI"/>
    <x v="0"/>
    <n v="0.34710144927536235"/>
  </r>
  <r>
    <s v="ORD0388"/>
    <d v="2024-06-06T00:00:00"/>
    <x v="2"/>
    <s v="Store B"/>
    <x v="0"/>
    <x v="0"/>
    <n v="9"/>
    <n v="477"/>
    <n v="4293"/>
    <n v="2269.67"/>
    <n v="2023.33"/>
    <x v="0"/>
    <s v="Online"/>
    <x v="7"/>
    <n v="0.47130910784998836"/>
  </r>
  <r>
    <s v="ORD0389"/>
    <d v="2024-10-08T00:00:00"/>
    <x v="3"/>
    <s v="Store A"/>
    <x v="2"/>
    <x v="3"/>
    <n v="6"/>
    <n v="488"/>
    <n v="2928"/>
    <n v="2316.41"/>
    <n v="611.59"/>
    <x v="1"/>
    <s v="UPI"/>
    <x v="2"/>
    <n v="0.20887636612021859"/>
  </r>
  <r>
    <s v="ORD0390"/>
    <d v="2024-08-17T00:00:00"/>
    <x v="2"/>
    <s v="Store C"/>
    <x v="0"/>
    <x v="8"/>
    <n v="5"/>
    <n v="602"/>
    <n v="3010"/>
    <n v="1802"/>
    <n v="1208"/>
    <x v="0"/>
    <s v="UPI"/>
    <x v="5"/>
    <n v="0.40132890365448504"/>
  </r>
  <r>
    <s v="ORD0391"/>
    <d v="2024-03-29T00:00:00"/>
    <x v="2"/>
    <s v="Store A"/>
    <x v="0"/>
    <x v="0"/>
    <n v="4"/>
    <n v="865"/>
    <n v="3460"/>
    <n v="2406.67"/>
    <n v="1053.33"/>
    <x v="0"/>
    <s v="Card"/>
    <x v="3"/>
    <n v="0.30443063583815028"/>
  </r>
  <r>
    <s v="ORD0392"/>
    <d v="2024-01-13T00:00:00"/>
    <x v="0"/>
    <s v="Store C"/>
    <x v="0"/>
    <x v="0"/>
    <n v="8"/>
    <n v="62"/>
    <n v="496"/>
    <n v="394.99"/>
    <n v="101.01"/>
    <x v="1"/>
    <s v="Cash"/>
    <x v="4"/>
    <n v="0.20364919354838712"/>
  </r>
  <r>
    <s v="ORD0393"/>
    <d v="2024-04-23T00:00:00"/>
    <x v="1"/>
    <s v="Store A"/>
    <x v="1"/>
    <x v="4"/>
    <n v="5"/>
    <n v="100"/>
    <n v="500"/>
    <n v="265.88"/>
    <n v="234.12"/>
    <x v="0"/>
    <s v="Card"/>
    <x v="6"/>
    <n v="0.46823999999999999"/>
  </r>
  <r>
    <s v="ORD0394"/>
    <d v="2024-03-05T00:00:00"/>
    <x v="0"/>
    <s v="Store D"/>
    <x v="1"/>
    <x v="1"/>
    <n v="6"/>
    <n v="770"/>
    <n v="4620"/>
    <n v="2331.84"/>
    <n v="2288.16"/>
    <x v="1"/>
    <s v="Card"/>
    <x v="3"/>
    <n v="0.49527272727272725"/>
  </r>
  <r>
    <s v="ORD0395"/>
    <d v="2024-09-29T00:00:00"/>
    <x v="1"/>
    <s v="Store C"/>
    <x v="2"/>
    <x v="6"/>
    <n v="3"/>
    <n v="565"/>
    <n v="1695"/>
    <n v="1225.01"/>
    <n v="469.99"/>
    <x v="1"/>
    <s v="Card"/>
    <x v="8"/>
    <n v="0.27728023598820062"/>
  </r>
  <r>
    <s v="ORD0396"/>
    <d v="2024-01-21T00:00:00"/>
    <x v="2"/>
    <s v="Store D"/>
    <x v="0"/>
    <x v="2"/>
    <n v="3"/>
    <n v="555"/>
    <n v="1665"/>
    <n v="985.17"/>
    <n v="679.83"/>
    <x v="0"/>
    <s v="Cash"/>
    <x v="4"/>
    <n v="0.40830630630630632"/>
  </r>
  <r>
    <s v="ORD0397"/>
    <d v="2024-01-25T00:00:00"/>
    <x v="1"/>
    <s v="Store B"/>
    <x v="2"/>
    <x v="7"/>
    <n v="3"/>
    <n v="424"/>
    <n v="1272"/>
    <n v="864.74"/>
    <n v="407.26"/>
    <x v="0"/>
    <s v="Online"/>
    <x v="4"/>
    <n v="0.32017295597484274"/>
  </r>
  <r>
    <s v="ORD0398"/>
    <d v="2024-02-05T00:00:00"/>
    <x v="3"/>
    <s v="Store C"/>
    <x v="1"/>
    <x v="5"/>
    <n v="3"/>
    <n v="112"/>
    <n v="336"/>
    <n v="237.64"/>
    <n v="98.36"/>
    <x v="0"/>
    <s v="Online"/>
    <x v="0"/>
    <n v="0.29273809523809524"/>
  </r>
  <r>
    <s v="ORD0399"/>
    <d v="2024-04-01T00:00:00"/>
    <x v="3"/>
    <s v="Store C"/>
    <x v="2"/>
    <x v="3"/>
    <n v="3"/>
    <n v="677"/>
    <n v="2031"/>
    <n v="1554.49"/>
    <n v="476.51"/>
    <x v="0"/>
    <s v="Card"/>
    <x v="6"/>
    <n v="0.23461841457410143"/>
  </r>
  <r>
    <s v="ORD0400"/>
    <d v="2024-10-15T00:00:00"/>
    <x v="3"/>
    <s v="Store C"/>
    <x v="2"/>
    <x v="7"/>
    <n v="6"/>
    <n v="58"/>
    <n v="348"/>
    <n v="187.19"/>
    <n v="160.81"/>
    <x v="0"/>
    <s v="Online"/>
    <x v="2"/>
    <n v="0.46209770114942528"/>
  </r>
  <r>
    <s v="ORD0401"/>
    <d v="2024-05-08T00:00:00"/>
    <x v="0"/>
    <s v="Store B"/>
    <x v="1"/>
    <x v="4"/>
    <n v="7"/>
    <n v="679"/>
    <n v="4753"/>
    <n v="3300.45"/>
    <n v="1452.55"/>
    <x v="0"/>
    <s v="Cash"/>
    <x v="9"/>
    <n v="0.30560698506206607"/>
  </r>
  <r>
    <s v="ORD0402"/>
    <d v="2024-01-31T00:00:00"/>
    <x v="2"/>
    <s v="Store B"/>
    <x v="2"/>
    <x v="6"/>
    <n v="8"/>
    <n v="270"/>
    <n v="2160"/>
    <n v="1427"/>
    <n v="733"/>
    <x v="0"/>
    <s v="Online"/>
    <x v="4"/>
    <n v="0.33935185185185185"/>
  </r>
  <r>
    <s v="ORD0403"/>
    <d v="2024-03-27T00:00:00"/>
    <x v="1"/>
    <s v="Store C"/>
    <x v="0"/>
    <x v="8"/>
    <n v="7"/>
    <n v="873"/>
    <n v="6111"/>
    <n v="4055.09"/>
    <n v="2055.91"/>
    <x v="0"/>
    <s v="Cash"/>
    <x v="3"/>
    <n v="0.3364277532318769"/>
  </r>
  <r>
    <s v="ORD0404"/>
    <d v="2024-01-09T00:00:00"/>
    <x v="2"/>
    <s v="Store B"/>
    <x v="0"/>
    <x v="0"/>
    <n v="4"/>
    <n v="697"/>
    <n v="2788"/>
    <n v="1991.33"/>
    <n v="796.67"/>
    <x v="1"/>
    <s v="Card"/>
    <x v="4"/>
    <n v="0.28574964131994257"/>
  </r>
  <r>
    <s v="ORD0405"/>
    <d v="2024-02-12T00:00:00"/>
    <x v="2"/>
    <s v="Store A"/>
    <x v="2"/>
    <x v="6"/>
    <n v="10"/>
    <n v="807"/>
    <n v="8070"/>
    <n v="4411.17"/>
    <n v="3658.83"/>
    <x v="0"/>
    <s v="Cash"/>
    <x v="0"/>
    <n v="0.45338661710037176"/>
  </r>
  <r>
    <s v="ORD0406"/>
    <d v="2024-06-12T00:00:00"/>
    <x v="3"/>
    <s v="Store B"/>
    <x v="1"/>
    <x v="5"/>
    <n v="9"/>
    <n v="107"/>
    <n v="963"/>
    <n v="531.97"/>
    <n v="431.03"/>
    <x v="1"/>
    <s v="UPI"/>
    <x v="7"/>
    <n v="0.44759086188992731"/>
  </r>
  <r>
    <s v="ORD0407"/>
    <d v="2024-06-02T00:00:00"/>
    <x v="0"/>
    <s v="Store A"/>
    <x v="0"/>
    <x v="8"/>
    <n v="4"/>
    <n v="933"/>
    <n v="3732"/>
    <n v="2612.62"/>
    <n v="1119.3800000000001"/>
    <x v="0"/>
    <s v="Online"/>
    <x v="7"/>
    <n v="0.29994105037513402"/>
  </r>
  <r>
    <s v="ORD0408"/>
    <d v="2024-02-16T00:00:00"/>
    <x v="3"/>
    <s v="Store B"/>
    <x v="2"/>
    <x v="3"/>
    <n v="5"/>
    <n v="544"/>
    <n v="2720"/>
    <n v="2000.64"/>
    <n v="719.36"/>
    <x v="0"/>
    <s v="Cash"/>
    <x v="0"/>
    <n v="0.26447058823529412"/>
  </r>
  <r>
    <s v="ORD0409"/>
    <d v="2024-08-08T00:00:00"/>
    <x v="1"/>
    <s v="Store D"/>
    <x v="0"/>
    <x v="8"/>
    <n v="8"/>
    <n v="29"/>
    <n v="232"/>
    <n v="144.86000000000001"/>
    <n v="87.14"/>
    <x v="0"/>
    <s v="UPI"/>
    <x v="5"/>
    <n v="0.37560344827586206"/>
  </r>
  <r>
    <s v="ORD0410"/>
    <d v="2024-04-29T00:00:00"/>
    <x v="1"/>
    <s v="Store B"/>
    <x v="1"/>
    <x v="1"/>
    <n v="3"/>
    <n v="706"/>
    <n v="2118"/>
    <n v="1119.58"/>
    <n v="998.42"/>
    <x v="0"/>
    <s v="Online"/>
    <x v="6"/>
    <n v="0.4713975448536355"/>
  </r>
  <r>
    <s v="ORD0411"/>
    <d v="2024-03-12T00:00:00"/>
    <x v="3"/>
    <s v="Store D"/>
    <x v="1"/>
    <x v="5"/>
    <n v="2"/>
    <n v="794"/>
    <n v="1588"/>
    <n v="796.1"/>
    <n v="791.9"/>
    <x v="1"/>
    <s v="Card"/>
    <x v="3"/>
    <n v="0.49867758186397981"/>
  </r>
  <r>
    <s v="ORD0412"/>
    <d v="2024-08-02T00:00:00"/>
    <x v="1"/>
    <s v="Store D"/>
    <x v="2"/>
    <x v="6"/>
    <n v="10"/>
    <n v="927"/>
    <n v="9270"/>
    <n v="7179.63"/>
    <n v="2090.37"/>
    <x v="0"/>
    <s v="UPI"/>
    <x v="5"/>
    <n v="0.22549838187702265"/>
  </r>
  <r>
    <s v="ORD0413"/>
    <d v="2024-06-27T00:00:00"/>
    <x v="3"/>
    <s v="Store A"/>
    <x v="2"/>
    <x v="7"/>
    <n v="2"/>
    <n v="205"/>
    <n v="410"/>
    <n v="294.64999999999998"/>
    <n v="115.35"/>
    <x v="0"/>
    <s v="Cash"/>
    <x v="7"/>
    <n v="0.28134146341463412"/>
  </r>
  <r>
    <s v="ORD0414"/>
    <d v="2024-09-01T00:00:00"/>
    <x v="2"/>
    <s v="Store C"/>
    <x v="2"/>
    <x v="6"/>
    <n v="6"/>
    <n v="269"/>
    <n v="1614"/>
    <n v="1048.02"/>
    <n v="565.98"/>
    <x v="1"/>
    <s v="Online"/>
    <x v="8"/>
    <n v="0.35066914498141266"/>
  </r>
  <r>
    <s v="ORD0415"/>
    <d v="2024-01-23T00:00:00"/>
    <x v="2"/>
    <s v="Store C"/>
    <x v="0"/>
    <x v="2"/>
    <n v="7"/>
    <n v="637"/>
    <n v="4459"/>
    <n v="3088.94"/>
    <n v="1370.06"/>
    <x v="0"/>
    <s v="Online"/>
    <x v="4"/>
    <n v="0.30725723256335502"/>
  </r>
  <r>
    <s v="ORD0416"/>
    <d v="2024-09-12T00:00:00"/>
    <x v="3"/>
    <s v="Store B"/>
    <x v="1"/>
    <x v="1"/>
    <n v="1"/>
    <n v="619"/>
    <n v="619"/>
    <n v="431.11"/>
    <n v="187.89"/>
    <x v="1"/>
    <s v="Online"/>
    <x v="8"/>
    <n v="0.30353796445880449"/>
  </r>
  <r>
    <s v="ORD0417"/>
    <d v="2024-07-26T00:00:00"/>
    <x v="2"/>
    <s v="Store C"/>
    <x v="1"/>
    <x v="5"/>
    <n v="5"/>
    <n v="800"/>
    <n v="4000"/>
    <n v="2079.71"/>
    <n v="1920.29"/>
    <x v="1"/>
    <s v="Online"/>
    <x v="1"/>
    <n v="0.48007250000000001"/>
  </r>
  <r>
    <s v="ORD0418"/>
    <d v="2024-08-05T00:00:00"/>
    <x v="2"/>
    <s v="Store C"/>
    <x v="1"/>
    <x v="1"/>
    <n v="8"/>
    <n v="495"/>
    <n v="3960"/>
    <n v="2844.24"/>
    <n v="1115.76"/>
    <x v="1"/>
    <s v="Cash"/>
    <x v="5"/>
    <n v="0.28175757575757576"/>
  </r>
  <r>
    <s v="ORD0419"/>
    <d v="2024-02-24T00:00:00"/>
    <x v="0"/>
    <s v="Store A"/>
    <x v="2"/>
    <x v="7"/>
    <n v="3"/>
    <n v="500"/>
    <n v="1500"/>
    <n v="828.65"/>
    <n v="671.35"/>
    <x v="1"/>
    <s v="Cash"/>
    <x v="0"/>
    <n v="0.44756666666666667"/>
  </r>
  <r>
    <s v="ORD0420"/>
    <d v="2024-06-12T00:00:00"/>
    <x v="3"/>
    <s v="Store D"/>
    <x v="1"/>
    <x v="1"/>
    <n v="3"/>
    <n v="391"/>
    <n v="1173"/>
    <n v="724.39"/>
    <n v="448.61"/>
    <x v="0"/>
    <s v="Online"/>
    <x v="7"/>
    <n v="0.38244671781756184"/>
  </r>
  <r>
    <s v="ORD0421"/>
    <d v="2024-10-21T00:00:00"/>
    <x v="0"/>
    <s v="Store B"/>
    <x v="1"/>
    <x v="4"/>
    <n v="1"/>
    <n v="83"/>
    <n v="83"/>
    <n v="54.5"/>
    <n v="28.5"/>
    <x v="0"/>
    <s v="UPI"/>
    <x v="2"/>
    <n v="0.34337349397590361"/>
  </r>
  <r>
    <s v="ORD0422"/>
    <d v="2024-06-04T00:00:00"/>
    <x v="1"/>
    <s v="Store D"/>
    <x v="0"/>
    <x v="2"/>
    <n v="10"/>
    <n v="331"/>
    <n v="3310"/>
    <n v="1782.39"/>
    <n v="1527.61"/>
    <x v="1"/>
    <s v="Cash"/>
    <x v="7"/>
    <n v="0.46151359516616314"/>
  </r>
  <r>
    <s v="ORD0423"/>
    <d v="2024-04-26T00:00:00"/>
    <x v="1"/>
    <s v="Store D"/>
    <x v="1"/>
    <x v="1"/>
    <n v="6"/>
    <n v="138"/>
    <n v="828"/>
    <n v="581"/>
    <n v="247"/>
    <x v="1"/>
    <s v="UPI"/>
    <x v="6"/>
    <n v="0.29830917874396135"/>
  </r>
  <r>
    <s v="ORD0424"/>
    <d v="2024-07-23T00:00:00"/>
    <x v="2"/>
    <s v="Store D"/>
    <x v="2"/>
    <x v="3"/>
    <n v="10"/>
    <n v="149"/>
    <n v="1490"/>
    <n v="825.62"/>
    <n v="664.38"/>
    <x v="0"/>
    <s v="UPI"/>
    <x v="1"/>
    <n v="0.44589261744966441"/>
  </r>
  <r>
    <s v="ORD0425"/>
    <d v="2024-04-17T00:00:00"/>
    <x v="1"/>
    <s v="Store B"/>
    <x v="0"/>
    <x v="0"/>
    <n v="6"/>
    <n v="712"/>
    <n v="4272"/>
    <n v="3400.74"/>
    <n v="871.26"/>
    <x v="1"/>
    <s v="Card"/>
    <x v="6"/>
    <n v="0.20394662921348314"/>
  </r>
  <r>
    <s v="ORD0426"/>
    <d v="2024-02-27T00:00:00"/>
    <x v="1"/>
    <s v="Store B"/>
    <x v="2"/>
    <x v="6"/>
    <n v="6"/>
    <n v="570"/>
    <n v="3420"/>
    <n v="2287.6799999999998"/>
    <n v="1132.32"/>
    <x v="1"/>
    <s v="Cash"/>
    <x v="0"/>
    <n v="0.3310877192982456"/>
  </r>
  <r>
    <s v="ORD0427"/>
    <d v="2024-03-07T00:00:00"/>
    <x v="0"/>
    <s v="Store B"/>
    <x v="0"/>
    <x v="8"/>
    <n v="8"/>
    <n v="612"/>
    <n v="4896"/>
    <n v="3601.19"/>
    <n v="1294.81"/>
    <x v="1"/>
    <s v="UPI"/>
    <x v="3"/>
    <n v="0.26446282679738559"/>
  </r>
  <r>
    <s v="ORD0428"/>
    <d v="2024-05-17T00:00:00"/>
    <x v="0"/>
    <s v="Store D"/>
    <x v="0"/>
    <x v="2"/>
    <n v="6"/>
    <n v="174"/>
    <n v="1044"/>
    <n v="805.81"/>
    <n v="238.19"/>
    <x v="0"/>
    <s v="Cash"/>
    <x v="9"/>
    <n v="0.22815134099616857"/>
  </r>
  <r>
    <s v="ORD0429"/>
    <d v="2024-02-27T00:00:00"/>
    <x v="0"/>
    <s v="Store A"/>
    <x v="1"/>
    <x v="1"/>
    <n v="10"/>
    <n v="390"/>
    <n v="3900"/>
    <n v="2743.07"/>
    <n v="1156.93"/>
    <x v="0"/>
    <s v="Online"/>
    <x v="0"/>
    <n v="0.29664871794871794"/>
  </r>
  <r>
    <s v="ORD0430"/>
    <d v="2024-02-24T00:00:00"/>
    <x v="3"/>
    <s v="Store A"/>
    <x v="0"/>
    <x v="2"/>
    <n v="10"/>
    <n v="949"/>
    <n v="9490"/>
    <n v="6363.58"/>
    <n v="3126.42"/>
    <x v="1"/>
    <s v="Online"/>
    <x v="0"/>
    <n v="0.32944362486828244"/>
  </r>
  <r>
    <s v="ORD0431"/>
    <d v="2024-06-28T00:00:00"/>
    <x v="0"/>
    <s v="Store D"/>
    <x v="0"/>
    <x v="0"/>
    <n v="4"/>
    <n v="138"/>
    <n v="552"/>
    <n v="372.95"/>
    <n v="179.05"/>
    <x v="1"/>
    <s v="Card"/>
    <x v="7"/>
    <n v="0.32436594202898555"/>
  </r>
  <r>
    <s v="ORD0432"/>
    <d v="2024-07-25T00:00:00"/>
    <x v="2"/>
    <s v="Store B"/>
    <x v="2"/>
    <x v="3"/>
    <n v="7"/>
    <n v="400"/>
    <n v="2800"/>
    <n v="2218.54"/>
    <n v="581.46"/>
    <x v="0"/>
    <s v="Cash"/>
    <x v="1"/>
    <n v="0.20766428571428572"/>
  </r>
  <r>
    <s v="ORD0433"/>
    <d v="2024-04-05T00:00:00"/>
    <x v="0"/>
    <s v="Store B"/>
    <x v="0"/>
    <x v="0"/>
    <n v="6"/>
    <n v="782"/>
    <n v="4692"/>
    <n v="3450.96"/>
    <n v="1241.04"/>
    <x v="1"/>
    <s v="Online"/>
    <x v="6"/>
    <n v="0.2645012787723785"/>
  </r>
  <r>
    <s v="ORD0434"/>
    <d v="2024-10-15T00:00:00"/>
    <x v="1"/>
    <s v="Store C"/>
    <x v="0"/>
    <x v="0"/>
    <n v="1"/>
    <n v="355"/>
    <n v="355"/>
    <n v="246.92"/>
    <n v="108.08"/>
    <x v="1"/>
    <s v="UPI"/>
    <x v="2"/>
    <n v="0.30445070422535209"/>
  </r>
  <r>
    <s v="ORD0435"/>
    <d v="2024-09-08T00:00:00"/>
    <x v="0"/>
    <s v="Store B"/>
    <x v="0"/>
    <x v="0"/>
    <n v="6"/>
    <n v="53"/>
    <n v="318"/>
    <n v="169.62"/>
    <n v="148.38"/>
    <x v="1"/>
    <s v="UPI"/>
    <x v="8"/>
    <n v="0.46660377358490562"/>
  </r>
  <r>
    <s v="ORD0436"/>
    <d v="2024-03-01T00:00:00"/>
    <x v="2"/>
    <s v="Store D"/>
    <x v="0"/>
    <x v="0"/>
    <n v="10"/>
    <n v="665"/>
    <n v="6650"/>
    <n v="3845.45"/>
    <n v="2804.55"/>
    <x v="0"/>
    <s v="Card"/>
    <x v="3"/>
    <n v="0.42173684210526319"/>
  </r>
  <r>
    <s v="ORD0437"/>
    <d v="2024-10-19T00:00:00"/>
    <x v="1"/>
    <s v="Store C"/>
    <x v="0"/>
    <x v="8"/>
    <n v="9"/>
    <n v="388"/>
    <n v="3492"/>
    <n v="2759.15"/>
    <n v="732.85"/>
    <x v="1"/>
    <s v="Cash"/>
    <x v="2"/>
    <n v="0.20986540664375716"/>
  </r>
  <r>
    <s v="ORD0438"/>
    <d v="2024-04-01T00:00:00"/>
    <x v="2"/>
    <s v="Store B"/>
    <x v="2"/>
    <x v="3"/>
    <n v="3"/>
    <n v="766"/>
    <n v="2298"/>
    <n v="1736.73"/>
    <n v="561.27"/>
    <x v="1"/>
    <s v="UPI"/>
    <x v="6"/>
    <n v="0.24424281984334203"/>
  </r>
  <r>
    <s v="ORD0439"/>
    <d v="2024-10-08T00:00:00"/>
    <x v="3"/>
    <s v="Store B"/>
    <x v="0"/>
    <x v="2"/>
    <n v="6"/>
    <n v="46"/>
    <n v="276"/>
    <n v="200.93"/>
    <n v="75.069999999999993"/>
    <x v="0"/>
    <s v="UPI"/>
    <x v="2"/>
    <n v="0.27199275362318837"/>
  </r>
  <r>
    <s v="ORD0440"/>
    <d v="2024-01-20T00:00:00"/>
    <x v="1"/>
    <s v="Store D"/>
    <x v="1"/>
    <x v="5"/>
    <n v="1"/>
    <n v="917"/>
    <n v="917"/>
    <n v="471.14"/>
    <n v="445.86"/>
    <x v="1"/>
    <s v="Card"/>
    <x v="4"/>
    <n v="0.48621592148309706"/>
  </r>
  <r>
    <s v="ORD0441"/>
    <d v="2024-06-21T00:00:00"/>
    <x v="0"/>
    <s v="Store B"/>
    <x v="2"/>
    <x v="6"/>
    <n v="10"/>
    <n v="173"/>
    <n v="1730"/>
    <n v="972.2"/>
    <n v="757.8"/>
    <x v="0"/>
    <s v="Online"/>
    <x v="7"/>
    <n v="0.43803468208092483"/>
  </r>
  <r>
    <s v="ORD0442"/>
    <d v="2024-07-12T00:00:00"/>
    <x v="0"/>
    <s v="Store D"/>
    <x v="1"/>
    <x v="1"/>
    <n v="7"/>
    <n v="43"/>
    <n v="301"/>
    <n v="233.92"/>
    <n v="67.08"/>
    <x v="0"/>
    <s v="Cash"/>
    <x v="1"/>
    <n v="0.22285714285714286"/>
  </r>
  <r>
    <s v="ORD0443"/>
    <d v="2024-08-15T00:00:00"/>
    <x v="3"/>
    <s v="Store C"/>
    <x v="1"/>
    <x v="5"/>
    <n v="8"/>
    <n v="364"/>
    <n v="2912"/>
    <n v="2047.55"/>
    <n v="864.45"/>
    <x v="1"/>
    <s v="UPI"/>
    <x v="5"/>
    <n v="0.2968578296703297"/>
  </r>
  <r>
    <s v="ORD0444"/>
    <d v="2024-04-26T00:00:00"/>
    <x v="2"/>
    <s v="Store D"/>
    <x v="1"/>
    <x v="1"/>
    <n v="7"/>
    <n v="31"/>
    <n v="217"/>
    <n v="167.29"/>
    <n v="49.71"/>
    <x v="0"/>
    <s v="Online"/>
    <x v="6"/>
    <n v="0.22907834101382488"/>
  </r>
  <r>
    <s v="ORD0445"/>
    <d v="2024-09-04T00:00:00"/>
    <x v="0"/>
    <s v="Store B"/>
    <x v="2"/>
    <x v="3"/>
    <n v="9"/>
    <n v="78"/>
    <n v="702"/>
    <n v="351.51"/>
    <n v="350.49"/>
    <x v="0"/>
    <s v="Cash"/>
    <x v="8"/>
    <n v="0.49927350427350431"/>
  </r>
  <r>
    <s v="ORD0446"/>
    <d v="2024-08-24T00:00:00"/>
    <x v="1"/>
    <s v="Store D"/>
    <x v="2"/>
    <x v="3"/>
    <n v="4"/>
    <n v="234"/>
    <n v="936"/>
    <n v="635.98"/>
    <n v="300.02"/>
    <x v="0"/>
    <s v="Online"/>
    <x v="5"/>
    <n v="0.32053418803418804"/>
  </r>
  <r>
    <s v="ORD0447"/>
    <d v="2024-03-10T00:00:00"/>
    <x v="3"/>
    <s v="Store D"/>
    <x v="2"/>
    <x v="7"/>
    <n v="2"/>
    <n v="974"/>
    <n v="1948"/>
    <n v="986.03"/>
    <n v="961.97"/>
    <x v="1"/>
    <s v="Cash"/>
    <x v="3"/>
    <n v="0.49382443531827519"/>
  </r>
  <r>
    <s v="ORD0448"/>
    <d v="2024-05-10T00:00:00"/>
    <x v="1"/>
    <s v="Store D"/>
    <x v="1"/>
    <x v="5"/>
    <n v="6"/>
    <n v="290"/>
    <n v="1740"/>
    <n v="1231.17"/>
    <n v="508.83"/>
    <x v="1"/>
    <s v="UPI"/>
    <x v="9"/>
    <n v="0.29243103448275859"/>
  </r>
  <r>
    <s v="ORD0449"/>
    <d v="2024-05-19T00:00:00"/>
    <x v="2"/>
    <s v="Store A"/>
    <x v="1"/>
    <x v="5"/>
    <n v="5"/>
    <n v="109"/>
    <n v="545"/>
    <n v="310.58"/>
    <n v="234.42"/>
    <x v="1"/>
    <s v="UPI"/>
    <x v="9"/>
    <n v="0.43012844036697245"/>
  </r>
  <r>
    <s v="ORD0450"/>
    <d v="2024-01-19T00:00:00"/>
    <x v="3"/>
    <s v="Store A"/>
    <x v="0"/>
    <x v="2"/>
    <n v="2"/>
    <n v="251"/>
    <n v="502"/>
    <n v="275.20999999999998"/>
    <n v="226.79"/>
    <x v="1"/>
    <s v="Card"/>
    <x v="4"/>
    <n v="0.45177290836653383"/>
  </r>
  <r>
    <s v="ORD0451"/>
    <d v="2024-08-21T00:00:00"/>
    <x v="1"/>
    <s v="Store A"/>
    <x v="0"/>
    <x v="2"/>
    <n v="4"/>
    <n v="710"/>
    <n v="2840"/>
    <n v="2105.56"/>
    <n v="734.44"/>
    <x v="1"/>
    <s v="UPI"/>
    <x v="5"/>
    <n v="0.25860563380281693"/>
  </r>
  <r>
    <s v="ORD0452"/>
    <d v="2024-01-28T00:00:00"/>
    <x v="2"/>
    <s v="Store D"/>
    <x v="0"/>
    <x v="8"/>
    <n v="9"/>
    <n v="30"/>
    <n v="270"/>
    <n v="147.53"/>
    <n v="122.47"/>
    <x v="1"/>
    <s v="Cash"/>
    <x v="4"/>
    <n v="0.4535925925925926"/>
  </r>
  <r>
    <s v="ORD0453"/>
    <d v="2024-10-12T00:00:00"/>
    <x v="3"/>
    <s v="Store B"/>
    <x v="0"/>
    <x v="8"/>
    <n v="7"/>
    <n v="581"/>
    <n v="4067"/>
    <n v="2488.84"/>
    <n v="1578.16"/>
    <x v="1"/>
    <s v="UPI"/>
    <x v="2"/>
    <n v="0.38804032456356036"/>
  </r>
  <r>
    <s v="ORD0454"/>
    <d v="2024-10-16T00:00:00"/>
    <x v="1"/>
    <s v="Store D"/>
    <x v="0"/>
    <x v="2"/>
    <n v="3"/>
    <n v="608"/>
    <n v="1824"/>
    <n v="1009.92"/>
    <n v="814.08"/>
    <x v="0"/>
    <s v="Card"/>
    <x v="2"/>
    <n v="0.44631578947368422"/>
  </r>
  <r>
    <s v="ORD0455"/>
    <d v="2024-01-13T00:00:00"/>
    <x v="0"/>
    <s v="Store A"/>
    <x v="0"/>
    <x v="2"/>
    <n v="5"/>
    <n v="612"/>
    <n v="3060"/>
    <n v="1647.77"/>
    <n v="1412.23"/>
    <x v="0"/>
    <s v="Card"/>
    <x v="4"/>
    <n v="0.46151307189542484"/>
  </r>
  <r>
    <s v="ORD0456"/>
    <d v="2024-08-26T00:00:00"/>
    <x v="3"/>
    <s v="Store D"/>
    <x v="0"/>
    <x v="8"/>
    <n v="8"/>
    <n v="848"/>
    <n v="6784"/>
    <n v="4012.46"/>
    <n v="2771.54"/>
    <x v="1"/>
    <s v="Online"/>
    <x v="5"/>
    <n v="0.40854068396226417"/>
  </r>
  <r>
    <s v="ORD0457"/>
    <d v="2024-02-06T00:00:00"/>
    <x v="3"/>
    <s v="Store C"/>
    <x v="2"/>
    <x v="3"/>
    <n v="9"/>
    <n v="664"/>
    <n v="5976"/>
    <n v="4101.9799999999996"/>
    <n v="1874.02"/>
    <x v="1"/>
    <s v="UPI"/>
    <x v="0"/>
    <n v="0.31359103078982598"/>
  </r>
  <r>
    <s v="ORD0458"/>
    <d v="2024-03-05T00:00:00"/>
    <x v="2"/>
    <s v="Store B"/>
    <x v="0"/>
    <x v="2"/>
    <n v="3"/>
    <n v="284"/>
    <n v="852"/>
    <n v="637.14"/>
    <n v="214.86"/>
    <x v="1"/>
    <s v="Card"/>
    <x v="3"/>
    <n v="0.2521830985915493"/>
  </r>
  <r>
    <s v="ORD0459"/>
    <d v="2024-06-20T00:00:00"/>
    <x v="0"/>
    <s v="Store D"/>
    <x v="0"/>
    <x v="0"/>
    <n v="1"/>
    <n v="258"/>
    <n v="258"/>
    <n v="189.83"/>
    <n v="68.17"/>
    <x v="1"/>
    <s v="Card"/>
    <x v="7"/>
    <n v="0.26422480620155042"/>
  </r>
  <r>
    <s v="ORD0460"/>
    <d v="2024-03-09T00:00:00"/>
    <x v="2"/>
    <s v="Store A"/>
    <x v="1"/>
    <x v="5"/>
    <n v="2"/>
    <n v="938"/>
    <n v="1876"/>
    <n v="979.96"/>
    <n v="896.04"/>
    <x v="0"/>
    <s v="UPI"/>
    <x v="3"/>
    <n v="0.47763326226012792"/>
  </r>
  <r>
    <s v="ORD0461"/>
    <d v="2024-10-11T00:00:00"/>
    <x v="3"/>
    <s v="Store B"/>
    <x v="1"/>
    <x v="4"/>
    <n v="1"/>
    <n v="312"/>
    <n v="312"/>
    <n v="235.32"/>
    <n v="76.680000000000007"/>
    <x v="1"/>
    <s v="UPI"/>
    <x v="2"/>
    <n v="0.2457692307692308"/>
  </r>
  <r>
    <s v="ORD0462"/>
    <d v="2024-04-26T00:00:00"/>
    <x v="0"/>
    <s v="Store C"/>
    <x v="2"/>
    <x v="3"/>
    <n v="10"/>
    <n v="380"/>
    <n v="3800"/>
    <n v="2825.13"/>
    <n v="974.87"/>
    <x v="1"/>
    <s v="Cash"/>
    <x v="6"/>
    <n v="0.25654473684210527"/>
  </r>
  <r>
    <s v="ORD0463"/>
    <d v="2024-02-19T00:00:00"/>
    <x v="3"/>
    <s v="Store B"/>
    <x v="1"/>
    <x v="5"/>
    <n v="5"/>
    <n v="26"/>
    <n v="130"/>
    <n v="66.02"/>
    <n v="63.98"/>
    <x v="0"/>
    <s v="UPI"/>
    <x v="0"/>
    <n v="0.49215384615384611"/>
  </r>
  <r>
    <s v="ORD0464"/>
    <d v="2024-03-23T00:00:00"/>
    <x v="1"/>
    <s v="Store A"/>
    <x v="0"/>
    <x v="2"/>
    <n v="5"/>
    <n v="773"/>
    <n v="3865"/>
    <n v="2593.5300000000002"/>
    <n v="1271.47"/>
    <x v="0"/>
    <s v="UPI"/>
    <x v="3"/>
    <n v="0.32897024579560158"/>
  </r>
  <r>
    <s v="ORD0465"/>
    <d v="2024-01-01T00:00:00"/>
    <x v="3"/>
    <s v="Store D"/>
    <x v="2"/>
    <x v="7"/>
    <n v="4"/>
    <n v="784"/>
    <n v="3136"/>
    <n v="2169.2399999999998"/>
    <n v="966.76"/>
    <x v="0"/>
    <s v="UPI"/>
    <x v="4"/>
    <n v="0.30827806122448981"/>
  </r>
  <r>
    <s v="ORD0466"/>
    <d v="2024-05-06T00:00:00"/>
    <x v="0"/>
    <s v="Store B"/>
    <x v="1"/>
    <x v="1"/>
    <n v="3"/>
    <n v="259"/>
    <n v="777"/>
    <n v="509.75"/>
    <n v="267.25"/>
    <x v="0"/>
    <s v="Card"/>
    <x v="9"/>
    <n v="0.34395109395109397"/>
  </r>
  <r>
    <s v="ORD0467"/>
    <d v="2024-01-16T00:00:00"/>
    <x v="3"/>
    <s v="Store A"/>
    <x v="0"/>
    <x v="8"/>
    <n v="6"/>
    <n v="590"/>
    <n v="3540"/>
    <n v="2439.6"/>
    <n v="1100.4000000000001"/>
    <x v="0"/>
    <s v="Card"/>
    <x v="4"/>
    <n v="0.31084745762711868"/>
  </r>
  <r>
    <s v="ORD0468"/>
    <d v="2024-05-25T00:00:00"/>
    <x v="1"/>
    <s v="Store A"/>
    <x v="2"/>
    <x v="6"/>
    <n v="10"/>
    <n v="215"/>
    <n v="2150"/>
    <n v="1436.45"/>
    <n v="713.55"/>
    <x v="1"/>
    <s v="UPI"/>
    <x v="9"/>
    <n v="0.33188372093023255"/>
  </r>
  <r>
    <s v="ORD0469"/>
    <d v="2024-01-09T00:00:00"/>
    <x v="3"/>
    <s v="Store B"/>
    <x v="2"/>
    <x v="3"/>
    <n v="6"/>
    <n v="63"/>
    <n v="378"/>
    <n v="251.71"/>
    <n v="126.29"/>
    <x v="1"/>
    <s v="Cash"/>
    <x v="4"/>
    <n v="0.33410052910052912"/>
  </r>
  <r>
    <s v="ORD0470"/>
    <d v="2024-09-12T00:00:00"/>
    <x v="3"/>
    <s v="Store D"/>
    <x v="1"/>
    <x v="5"/>
    <n v="7"/>
    <n v="810"/>
    <n v="5670"/>
    <n v="3050.38"/>
    <n v="2619.62"/>
    <x v="0"/>
    <s v="Cash"/>
    <x v="8"/>
    <n v="0.46201410934744264"/>
  </r>
  <r>
    <s v="ORD0471"/>
    <d v="2024-03-24T00:00:00"/>
    <x v="0"/>
    <s v="Store D"/>
    <x v="2"/>
    <x v="7"/>
    <n v="3"/>
    <n v="346"/>
    <n v="1038"/>
    <n v="572.19000000000005"/>
    <n v="465.81"/>
    <x v="0"/>
    <s v="Card"/>
    <x v="3"/>
    <n v="0.44875722543352603"/>
  </r>
  <r>
    <s v="ORD0472"/>
    <d v="2024-10-12T00:00:00"/>
    <x v="1"/>
    <s v="Store D"/>
    <x v="0"/>
    <x v="2"/>
    <n v="5"/>
    <n v="638"/>
    <n v="3190"/>
    <n v="2170.29"/>
    <n v="1019.71"/>
    <x v="1"/>
    <s v="UPI"/>
    <x v="2"/>
    <n v="0.31965830721003136"/>
  </r>
  <r>
    <s v="ORD0473"/>
    <d v="2024-05-31T00:00:00"/>
    <x v="1"/>
    <s v="Store B"/>
    <x v="0"/>
    <x v="8"/>
    <n v="2"/>
    <n v="414"/>
    <n v="828"/>
    <n v="457.29"/>
    <n v="370.71"/>
    <x v="0"/>
    <s v="Cash"/>
    <x v="9"/>
    <n v="0.44771739130434779"/>
  </r>
  <r>
    <s v="ORD0474"/>
    <d v="2024-03-26T00:00:00"/>
    <x v="2"/>
    <s v="Store B"/>
    <x v="0"/>
    <x v="8"/>
    <n v="6"/>
    <n v="596"/>
    <n v="3576"/>
    <n v="2523.67"/>
    <n v="1052.33"/>
    <x v="0"/>
    <s v="Online"/>
    <x v="3"/>
    <n v="0.29427572706935123"/>
  </r>
  <r>
    <s v="ORD0475"/>
    <d v="2024-08-26T00:00:00"/>
    <x v="2"/>
    <s v="Store B"/>
    <x v="1"/>
    <x v="4"/>
    <n v="9"/>
    <n v="716"/>
    <n v="6444"/>
    <n v="3697.74"/>
    <n v="2746.26"/>
    <x v="0"/>
    <s v="UPI"/>
    <x v="5"/>
    <n v="0.42617318435754192"/>
  </r>
  <r>
    <s v="ORD0476"/>
    <d v="2024-05-16T00:00:00"/>
    <x v="1"/>
    <s v="Store B"/>
    <x v="0"/>
    <x v="2"/>
    <n v="5"/>
    <n v="953"/>
    <n v="4765"/>
    <n v="3096.62"/>
    <n v="1668.38"/>
    <x v="1"/>
    <s v="UPI"/>
    <x v="9"/>
    <n v="0.35013221406086048"/>
  </r>
  <r>
    <s v="ORD0477"/>
    <d v="2024-01-19T00:00:00"/>
    <x v="1"/>
    <s v="Store B"/>
    <x v="1"/>
    <x v="5"/>
    <n v="8"/>
    <n v="559"/>
    <n v="4472"/>
    <n v="3076.79"/>
    <n v="1395.21"/>
    <x v="1"/>
    <s v="Online"/>
    <x v="4"/>
    <n v="0.31198792486583188"/>
  </r>
  <r>
    <s v="ORD0478"/>
    <d v="2024-04-03T00:00:00"/>
    <x v="2"/>
    <s v="Store B"/>
    <x v="2"/>
    <x v="7"/>
    <n v="4"/>
    <n v="844"/>
    <n v="3376"/>
    <n v="2367.6799999999998"/>
    <n v="1008.32"/>
    <x v="0"/>
    <s v="Online"/>
    <x v="6"/>
    <n v="0.29867298578199053"/>
  </r>
  <r>
    <s v="ORD0479"/>
    <d v="2024-01-26T00:00:00"/>
    <x v="0"/>
    <s v="Store C"/>
    <x v="2"/>
    <x v="7"/>
    <n v="7"/>
    <n v="477"/>
    <n v="3339"/>
    <n v="2122.3000000000002"/>
    <n v="1216.7"/>
    <x v="1"/>
    <s v="UPI"/>
    <x v="4"/>
    <n v="0.3643905360886493"/>
  </r>
  <r>
    <s v="ORD0480"/>
    <d v="2024-10-11T00:00:00"/>
    <x v="0"/>
    <s v="Store A"/>
    <x v="1"/>
    <x v="4"/>
    <n v="1"/>
    <n v="220"/>
    <n v="220"/>
    <n v="162.72999999999999"/>
    <n v="57.27"/>
    <x v="0"/>
    <s v="Cash"/>
    <x v="2"/>
    <n v="0.26031818181818184"/>
  </r>
  <r>
    <s v="ORD0481"/>
    <d v="2024-10-22T00:00:00"/>
    <x v="3"/>
    <s v="Store C"/>
    <x v="1"/>
    <x v="1"/>
    <n v="9"/>
    <n v="936"/>
    <n v="8424"/>
    <n v="6144.72"/>
    <n v="2279.2800000000002"/>
    <x v="0"/>
    <s v="Cash"/>
    <x v="2"/>
    <n v="0.27056980056980057"/>
  </r>
  <r>
    <s v="ORD0482"/>
    <d v="2024-08-03T00:00:00"/>
    <x v="0"/>
    <s v="Store A"/>
    <x v="2"/>
    <x v="3"/>
    <n v="1"/>
    <n v="476"/>
    <n v="476"/>
    <n v="344.11"/>
    <n v="131.88999999999999"/>
    <x v="0"/>
    <s v="Card"/>
    <x v="5"/>
    <n v="0.27707983193277308"/>
  </r>
  <r>
    <s v="ORD0483"/>
    <d v="2024-02-24T00:00:00"/>
    <x v="1"/>
    <s v="Store D"/>
    <x v="2"/>
    <x v="7"/>
    <n v="9"/>
    <n v="245"/>
    <n v="2205"/>
    <n v="1379.11"/>
    <n v="825.89"/>
    <x v="1"/>
    <s v="Online"/>
    <x v="0"/>
    <n v="0.37455328798185938"/>
  </r>
  <r>
    <s v="ORD0484"/>
    <d v="2024-01-04T00:00:00"/>
    <x v="0"/>
    <s v="Store A"/>
    <x v="0"/>
    <x v="2"/>
    <n v="9"/>
    <n v="425"/>
    <n v="3825"/>
    <n v="2801.63"/>
    <n v="1023.37"/>
    <x v="1"/>
    <s v="Card"/>
    <x v="4"/>
    <n v="0.26754771241830066"/>
  </r>
  <r>
    <s v="ORD0485"/>
    <d v="2024-04-08T00:00:00"/>
    <x v="1"/>
    <s v="Store C"/>
    <x v="1"/>
    <x v="4"/>
    <n v="5"/>
    <n v="746"/>
    <n v="3730"/>
    <n v="2366.14"/>
    <n v="1363.86"/>
    <x v="0"/>
    <s v="UPI"/>
    <x v="6"/>
    <n v="0.36564611260053614"/>
  </r>
  <r>
    <s v="ORD0486"/>
    <d v="2024-07-10T00:00:00"/>
    <x v="1"/>
    <s v="Store C"/>
    <x v="1"/>
    <x v="5"/>
    <n v="10"/>
    <n v="331"/>
    <n v="3310"/>
    <n v="1847.63"/>
    <n v="1462.37"/>
    <x v="0"/>
    <s v="Cash"/>
    <x v="1"/>
    <n v="0.44180362537764345"/>
  </r>
  <r>
    <s v="ORD0487"/>
    <d v="2024-09-15T00:00:00"/>
    <x v="3"/>
    <s v="Store C"/>
    <x v="0"/>
    <x v="0"/>
    <n v="1"/>
    <n v="661"/>
    <n v="661"/>
    <n v="485.46"/>
    <n v="175.54"/>
    <x v="0"/>
    <s v="Cash"/>
    <x v="8"/>
    <n v="0.26556732223903173"/>
  </r>
  <r>
    <s v="ORD0488"/>
    <d v="2024-02-26T00:00:00"/>
    <x v="0"/>
    <s v="Store C"/>
    <x v="2"/>
    <x v="7"/>
    <n v="2"/>
    <n v="793"/>
    <n v="1586"/>
    <n v="1244.17"/>
    <n v="341.83"/>
    <x v="0"/>
    <s v="UPI"/>
    <x v="0"/>
    <n v="0.21552963430012609"/>
  </r>
  <r>
    <s v="ORD0489"/>
    <d v="2024-06-10T00:00:00"/>
    <x v="1"/>
    <s v="Store C"/>
    <x v="1"/>
    <x v="1"/>
    <n v="10"/>
    <n v="949"/>
    <n v="9490"/>
    <n v="7206.61"/>
    <n v="2283.39"/>
    <x v="0"/>
    <s v="Cash"/>
    <x v="7"/>
    <n v="0.24061011591148576"/>
  </r>
  <r>
    <s v="ORD0490"/>
    <d v="2024-01-05T00:00:00"/>
    <x v="1"/>
    <s v="Store B"/>
    <x v="1"/>
    <x v="1"/>
    <n v="7"/>
    <n v="527"/>
    <n v="3689"/>
    <n v="2409.2800000000002"/>
    <n v="1279.72"/>
    <x v="1"/>
    <s v="Card"/>
    <x v="4"/>
    <n v="0.34690159934941717"/>
  </r>
  <r>
    <s v="ORD0491"/>
    <d v="2024-10-20T00:00:00"/>
    <x v="0"/>
    <s v="Store C"/>
    <x v="0"/>
    <x v="8"/>
    <n v="3"/>
    <n v="342"/>
    <n v="1026"/>
    <n v="692.18"/>
    <n v="333.82"/>
    <x v="0"/>
    <s v="Card"/>
    <x v="2"/>
    <n v="0.32536062378167641"/>
  </r>
  <r>
    <s v="ORD0492"/>
    <d v="2024-04-04T00:00:00"/>
    <x v="3"/>
    <s v="Store C"/>
    <x v="2"/>
    <x v="3"/>
    <n v="5"/>
    <n v="300"/>
    <n v="1500"/>
    <n v="816.11"/>
    <n v="683.89"/>
    <x v="1"/>
    <s v="Card"/>
    <x v="6"/>
    <n v="0.45592666666666665"/>
  </r>
  <r>
    <s v="ORD0493"/>
    <d v="2024-04-21T00:00:00"/>
    <x v="1"/>
    <s v="Store B"/>
    <x v="1"/>
    <x v="4"/>
    <n v="1"/>
    <n v="787"/>
    <n v="787"/>
    <n v="477.47"/>
    <n v="309.52999999999997"/>
    <x v="0"/>
    <s v="Card"/>
    <x v="6"/>
    <n v="0.39330368487928841"/>
  </r>
  <r>
    <s v="ORD0494"/>
    <d v="2024-09-13T00:00:00"/>
    <x v="0"/>
    <s v="Store A"/>
    <x v="0"/>
    <x v="8"/>
    <n v="6"/>
    <n v="30"/>
    <n v="180"/>
    <n v="124.5"/>
    <n v="55.5"/>
    <x v="0"/>
    <s v="Card"/>
    <x v="8"/>
    <n v="0.30833333333333335"/>
  </r>
  <r>
    <s v="ORD0495"/>
    <d v="2024-08-10T00:00:00"/>
    <x v="2"/>
    <s v="Store C"/>
    <x v="2"/>
    <x v="6"/>
    <n v="9"/>
    <n v="569"/>
    <n v="5121"/>
    <n v="2735.91"/>
    <n v="2385.09"/>
    <x v="0"/>
    <s v="Cash"/>
    <x v="5"/>
    <n v="0.46574692442882254"/>
  </r>
  <r>
    <s v="ORD0496"/>
    <d v="2024-02-03T00:00:00"/>
    <x v="1"/>
    <s v="Store A"/>
    <x v="0"/>
    <x v="2"/>
    <n v="2"/>
    <n v="549"/>
    <n v="1098"/>
    <n v="690.05"/>
    <n v="407.95"/>
    <x v="0"/>
    <s v="Online"/>
    <x v="0"/>
    <n v="0.37153916211293259"/>
  </r>
  <r>
    <s v="ORD0497"/>
    <d v="2024-07-17T00:00:00"/>
    <x v="1"/>
    <s v="Store A"/>
    <x v="2"/>
    <x v="7"/>
    <n v="4"/>
    <n v="626"/>
    <n v="2504"/>
    <n v="1587.07"/>
    <n v="916.93"/>
    <x v="0"/>
    <s v="Cash"/>
    <x v="1"/>
    <n v="0.36618610223642173"/>
  </r>
  <r>
    <s v="ORD0498"/>
    <d v="2024-07-04T00:00:00"/>
    <x v="2"/>
    <s v="Store B"/>
    <x v="1"/>
    <x v="4"/>
    <n v="6"/>
    <n v="916"/>
    <n v="5496"/>
    <n v="3900.63"/>
    <n v="1595.37"/>
    <x v="0"/>
    <s v="Cash"/>
    <x v="1"/>
    <n v="0.29027838427947594"/>
  </r>
  <r>
    <s v="ORD0499"/>
    <d v="2024-07-05T00:00:00"/>
    <x v="2"/>
    <s v="Store B"/>
    <x v="1"/>
    <x v="5"/>
    <n v="3"/>
    <n v="643"/>
    <n v="1929"/>
    <n v="1025.6199999999999"/>
    <n v="903.38"/>
    <x v="1"/>
    <s v="UPI"/>
    <x v="1"/>
    <n v="0.46831518921721099"/>
  </r>
  <r>
    <s v="ORD0500"/>
    <d v="2024-04-01T00:00:00"/>
    <x v="0"/>
    <s v="Store A"/>
    <x v="2"/>
    <x v="6"/>
    <n v="1"/>
    <n v="512"/>
    <n v="512"/>
    <n v="330.65"/>
    <n v="181.35"/>
    <x v="1"/>
    <s v="Card"/>
    <x v="6"/>
    <n v="0.35419921874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BD7DB2-C9C1-4307-BD9B-B49F795732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B6" firstHeaderRow="1" firstDataRow="1" firstDataCol="1"/>
  <pivotFields count="15">
    <pivotField showAll="0"/>
    <pivotField numFmtId="164" showAll="0"/>
    <pivotField showAll="0">
      <items count="5">
        <item x="3"/>
        <item x="1"/>
        <item x="0"/>
        <item x="2"/>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items count="11">
        <item x="6"/>
        <item x="5"/>
        <item x="0"/>
        <item x="4"/>
        <item x="1"/>
        <item x="7"/>
        <item x="3"/>
        <item x="9"/>
        <item x="2"/>
        <item x="8"/>
        <item t="default"/>
      </items>
    </pivotField>
    <pivotField numFmtId="9" showAll="0"/>
  </pivotFields>
  <rowFields count="1">
    <field x="4"/>
  </rowFields>
  <rowItems count="4">
    <i>
      <x/>
    </i>
    <i>
      <x v="1"/>
    </i>
    <i>
      <x v="2"/>
    </i>
    <i t="grand">
      <x/>
    </i>
  </rowItems>
  <colItems count="1">
    <i/>
  </colItems>
  <dataFields count="1">
    <dataField name="Sum of Sales" fld="8" baseField="0" baseItem="0" numFmtId="165"/>
  </dataFields>
  <formats count="1">
    <format dxfId="0">
      <pivotArea outline="0" collapsedLevelsAreSubtotals="1" fieldPosition="0"/>
    </format>
  </formats>
  <chartFormats count="4">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2"/>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7CB543-5696-4F78-BD98-E92562C785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3" firstHeaderRow="1" firstDataRow="1" firstDataCol="1"/>
  <pivotFields count="15">
    <pivotField showAll="0"/>
    <pivotField numFmtId="164" showAll="0"/>
    <pivotField showAll="0">
      <items count="5">
        <item x="3"/>
        <item x="1"/>
        <item x="0"/>
        <item x="2"/>
        <item t="default"/>
      </items>
    </pivotField>
    <pivotField showAll="0"/>
    <pivotField showAll="0">
      <items count="4">
        <item x="0"/>
        <item x="1"/>
        <item x="2"/>
        <item t="default"/>
      </items>
    </pivotField>
    <pivotField axis="axisRow" showAll="0" measureFilter="1">
      <items count="10">
        <item x="6"/>
        <item x="1"/>
        <item x="2"/>
        <item x="0"/>
        <item x="5"/>
        <item x="4"/>
        <item x="3"/>
        <item x="7"/>
        <item x="8"/>
        <item t="default"/>
      </items>
    </pivotField>
    <pivotField showAll="0"/>
    <pivotField showAll="0"/>
    <pivotField dataField="1" showAll="0"/>
    <pivotField showAll="0"/>
    <pivotField showAll="0"/>
    <pivotField showAll="0">
      <items count="3">
        <item x="1"/>
        <item x="0"/>
        <item t="default"/>
      </items>
    </pivotField>
    <pivotField showAll="0"/>
    <pivotField showAll="0">
      <items count="11">
        <item x="6"/>
        <item x="5"/>
        <item x="0"/>
        <item x="4"/>
        <item x="1"/>
        <item x="7"/>
        <item x="3"/>
        <item x="9"/>
        <item x="2"/>
        <item x="8"/>
        <item t="default"/>
      </items>
    </pivotField>
    <pivotField numFmtId="9" showAll="0"/>
  </pivotFields>
  <rowFields count="1">
    <field x="5"/>
  </rowFields>
  <rowItems count="6">
    <i>
      <x/>
    </i>
    <i>
      <x v="1"/>
    </i>
    <i>
      <x v="2"/>
    </i>
    <i>
      <x v="3"/>
    </i>
    <i>
      <x v="8"/>
    </i>
    <i t="grand">
      <x/>
    </i>
  </rowItems>
  <colItems count="1">
    <i/>
  </colItems>
  <dataFields count="1">
    <dataField name="Sum of Sales" fld="8"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5A62B0-D2DF-4BA2-B2F9-897926458A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E13" firstHeaderRow="1" firstDataRow="1" firstDataCol="1"/>
  <pivotFields count="15">
    <pivotField showAll="0"/>
    <pivotField numFmtId="164" showAll="0"/>
    <pivotField showAll="0">
      <items count="5">
        <item x="3"/>
        <item x="1"/>
        <item x="0"/>
        <item x="2"/>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3">
        <item x="1"/>
        <item x="0"/>
        <item t="default"/>
      </items>
    </pivotField>
    <pivotField showAll="0"/>
    <pivotField axis="axisRow" showAll="0" nonAutoSortDefault="1">
      <items count="11">
        <item x="4"/>
        <item x="0"/>
        <item x="3"/>
        <item x="6"/>
        <item x="9"/>
        <item x="7"/>
        <item x="1"/>
        <item x="5"/>
        <item x="8"/>
        <item x="2"/>
        <item t="default"/>
      </items>
    </pivotField>
    <pivotField numFmtId="9" showAll="0"/>
  </pivotFields>
  <rowFields count="1">
    <field x="13"/>
  </rowFields>
  <rowItems count="11">
    <i>
      <x/>
    </i>
    <i>
      <x v="1"/>
    </i>
    <i>
      <x v="2"/>
    </i>
    <i>
      <x v="3"/>
    </i>
    <i>
      <x v="4"/>
    </i>
    <i>
      <x v="5"/>
    </i>
    <i>
      <x v="6"/>
    </i>
    <i>
      <x v="7"/>
    </i>
    <i>
      <x v="8"/>
    </i>
    <i>
      <x v="9"/>
    </i>
    <i t="grand">
      <x/>
    </i>
  </rowItems>
  <colItems count="1">
    <i/>
  </colItems>
  <dataFields count="1">
    <dataField name="Sum of Sales" fld="8" baseField="0" baseItem="0" numFmtId="165"/>
  </dataFields>
  <formats count="1">
    <format dxfId="2">
      <pivotArea outline="0" collapsedLevelsAreSubtotals="1" fieldPosition="0"/>
    </format>
  </formats>
  <chartFormats count="6">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3" count="1" selected="0">
            <x v="1"/>
          </reference>
        </references>
      </pivotArea>
    </chartFormat>
    <chartFormat chart="9" format="14">
      <pivotArea type="data" outline="0" fieldPosition="0">
        <references count="2">
          <reference field="4294967294" count="1" selected="0">
            <x v="0"/>
          </reference>
          <reference field="13" count="1" selected="0">
            <x v="3"/>
          </reference>
        </references>
      </pivotArea>
    </chartFormat>
    <chartFormat chart="9" format="15">
      <pivotArea type="data" outline="0" fieldPosition="0">
        <references count="2">
          <reference field="4294967294" count="1" selected="0">
            <x v="0"/>
          </reference>
          <reference field="13" count="1" selected="0">
            <x v="5"/>
          </reference>
        </references>
      </pivotArea>
    </chartFormat>
    <chartFormat chart="9" format="16">
      <pivotArea type="data" outline="0" fieldPosition="0">
        <references count="2">
          <reference field="4294967294" count="1" selected="0">
            <x v="0"/>
          </reference>
          <reference field="13" count="1" selected="0">
            <x v="6"/>
          </reference>
        </references>
      </pivotArea>
    </chartFormat>
    <chartFormat chart="9" format="17">
      <pivotArea type="data" outline="0" fieldPosition="0">
        <references count="2">
          <reference field="4294967294" count="1" selected="0">
            <x v="0"/>
          </reference>
          <reference field="1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7AA90D-8E18-4F28-9AF3-702FC538DE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4" firstHeaderRow="1" firstDataRow="1" firstDataCol="1"/>
  <pivotFields count="15">
    <pivotField showAll="0"/>
    <pivotField numFmtId="164" showAll="0"/>
    <pivotField axis="axisRow" showAll="0">
      <items count="5">
        <item x="3"/>
        <item x="1"/>
        <item x="0"/>
        <item x="2"/>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items count="11">
        <item x="6"/>
        <item x="5"/>
        <item x="0"/>
        <item x="4"/>
        <item x="1"/>
        <item x="7"/>
        <item x="3"/>
        <item x="9"/>
        <item x="2"/>
        <item x="8"/>
        <item t="default"/>
      </items>
    </pivotField>
    <pivotField numFmtId="9" showAll="0"/>
  </pivotFields>
  <rowFields count="1">
    <field x="2"/>
  </rowFields>
  <rowItems count="5">
    <i>
      <x/>
    </i>
    <i>
      <x v="1"/>
    </i>
    <i>
      <x v="2"/>
    </i>
    <i>
      <x v="3"/>
    </i>
    <i t="grand">
      <x/>
    </i>
  </rowItems>
  <colItems count="1">
    <i/>
  </colItems>
  <dataFields count="1">
    <dataField name="Sum of Profit" fld="10" baseField="0" baseItem="0" numFmtId="165"/>
  </dataFields>
  <formats count="1">
    <format dxfId="3">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2E3657-2C03-47A4-91E1-E43E57CBB378}" sourceName="Region">
  <pivotTables>
    <pivotTable tabId="3" name="PivotTable3"/>
    <pivotTable tabId="3" name="PivotTable1"/>
    <pivotTable tabId="3" name="PivotTable2"/>
    <pivotTable tabId="3" name="PivotTable4"/>
  </pivotTables>
  <data>
    <tabular pivotCacheId="165388229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E51F26-E623-46AF-BD3E-954778FA0980}" sourceName="Category">
  <pivotTables>
    <pivotTable tabId="3" name="PivotTable3"/>
    <pivotTable tabId="3" name="PivotTable1"/>
    <pivotTable tabId="3" name="PivotTable2"/>
    <pivotTable tabId="3" name="PivotTable4"/>
  </pivotTables>
  <data>
    <tabular pivotCacheId="165388229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000E6D5-0F17-442C-8C53-B5D28AC4C63D}" sourceName="Customer Type">
  <pivotTables>
    <pivotTable tabId="3" name="PivotTable3"/>
    <pivotTable tabId="3" name="PivotTable1"/>
    <pivotTable tabId="3" name="PivotTable2"/>
    <pivotTable tabId="3" name="PivotTable4"/>
  </pivotTables>
  <data>
    <tabular pivotCacheId="165388229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7DF7EB1-EEA6-4C06-9F21-40E2800FE222}" sourceName="Month">
  <pivotTables>
    <pivotTable tabId="3" name="PivotTable4"/>
    <pivotTable tabId="3" name="PivotTable1"/>
    <pivotTable tabId="3" name="PivotTable2"/>
    <pivotTable tabId="3" name="PivotTable3"/>
  </pivotTables>
  <data>
    <tabular pivotCacheId="1653882296">
      <items count="10">
        <i x="6" s="1"/>
        <i x="5" s="1"/>
        <i x="0" s="1"/>
        <i x="4" s="1"/>
        <i x="1" s="1"/>
        <i x="7" s="1"/>
        <i x="3" s="1"/>
        <i x="9"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663EB7-7B13-40FC-8982-6C8A51561B1D}" cache="Slicer_Region" caption="Region" rowHeight="241300"/>
  <slicer name="Category" xr10:uid="{617C446F-99AC-4F67-9B22-44F445937652}" cache="Slicer_Category" caption="Category" rowHeight="241300"/>
  <slicer name="Customer Type" xr10:uid="{CF2C8F13-3900-4919-A5FE-E21CBC9881A1}" cache="Slicer_Customer_Type" caption="Customer Type" rowHeight="241300"/>
  <slicer name="Month" xr10:uid="{36DCE264-5D6C-401A-94E6-806712F276B4}"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1194BB-7F19-43BB-BC0F-71C873E06668}" name="SalesData" displayName="SalesData" ref="A1:O501" totalsRowShown="0">
  <autoFilter ref="A1:O501" xr:uid="{CD1194BB-7F19-43BB-BC0F-71C873E06668}"/>
  <tableColumns count="15">
    <tableColumn id="1" xr3:uid="{4599A0D9-39D1-4B0D-91E6-04B7DC43A1CB}" name="Order ID"/>
    <tableColumn id="2" xr3:uid="{827E24CD-5D38-4AAE-8D11-E31CBA5302AF}" name="Order Date" dataDxfId="5"/>
    <tableColumn id="3" xr3:uid="{17E17017-E7A1-4483-9B2D-EC63F6019176}" name="Region"/>
    <tableColumn id="4" xr3:uid="{428D1304-3636-42AF-A8A2-18CE266F6042}" name="Store"/>
    <tableColumn id="5" xr3:uid="{93372048-C693-4D19-94E5-EEEA90AF0820}" name="Category"/>
    <tableColumn id="6" xr3:uid="{8EE0DEA0-582F-4185-A25F-AA981084EC78}" name="Product"/>
    <tableColumn id="7" xr3:uid="{19A5B784-2905-44BF-8C76-1399315CB747}" name="Quantity"/>
    <tableColumn id="8" xr3:uid="{98853509-2B2F-43A4-8C0E-908D9DE34160}" name="Unit Price"/>
    <tableColumn id="9" xr3:uid="{05404D4C-AA1E-4B99-81A7-BF0C274589F0}" name="Sales"/>
    <tableColumn id="10" xr3:uid="{5D15C597-9732-492E-B37D-3B098E4BBAD5}" name="Cost"/>
    <tableColumn id="11" xr3:uid="{6819D800-3CE0-4DB4-8789-8CEBAB53E56F}" name="Profit"/>
    <tableColumn id="12" xr3:uid="{C69FFEBB-4078-4AD7-87A9-DC4FA0663831}" name="Customer Type"/>
    <tableColumn id="13" xr3:uid="{74BCAE6B-CE37-4FFA-B032-86625B325D4A}" name="Payment Method"/>
    <tableColumn id="14" xr3:uid="{A217A9C9-D4F0-41E1-8F48-B5B31D061F46}" name="Month" dataDxfId="4">
      <calculatedColumnFormula>TEXT(SalesData[[#This Row],[Order Date]],"MMM-YYYY")</calculatedColumnFormula>
    </tableColumn>
    <tableColumn id="15" xr3:uid="{F8E8B1B6-EDCD-49B0-9612-E7B8FEF21B52}" name="Profit Margin" dataCellStyle="Percent">
      <calculatedColumnFormula>SalesData[[#This Row],[Profit]]/SalesData[[#This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79DE9-C397-40DF-A62E-8B7713A0AB8F}">
  <dimension ref="A1:M501"/>
  <sheetViews>
    <sheetView topLeftCell="A485" workbookViewId="0">
      <selection activeCell="E20" sqref="E20"/>
    </sheetView>
  </sheetViews>
  <sheetFormatPr defaultRowHeight="15" x14ac:dyDescent="0.25"/>
  <cols>
    <col min="2" max="2" width="17.28515625" customWidth="1"/>
  </cols>
  <sheetData>
    <row r="1" spans="1:13" x14ac:dyDescent="0.25">
      <c r="A1" s="14" t="s">
        <v>0</v>
      </c>
      <c r="B1" s="14" t="s">
        <v>1</v>
      </c>
      <c r="C1" s="14" t="s">
        <v>2</v>
      </c>
      <c r="D1" s="14" t="s">
        <v>3</v>
      </c>
      <c r="E1" s="14" t="s">
        <v>4</v>
      </c>
      <c r="F1" s="14" t="s">
        <v>5</v>
      </c>
      <c r="G1" s="14" t="s">
        <v>6</v>
      </c>
      <c r="H1" s="14" t="s">
        <v>7</v>
      </c>
      <c r="I1" s="14" t="s">
        <v>8</v>
      </c>
      <c r="J1" s="14" t="s">
        <v>9</v>
      </c>
      <c r="K1" s="14" t="s">
        <v>10</v>
      </c>
      <c r="L1" s="14" t="s">
        <v>11</v>
      </c>
      <c r="M1" s="14" t="s">
        <v>12</v>
      </c>
    </row>
    <row r="2" spans="1:13" x14ac:dyDescent="0.25">
      <c r="A2" s="14" t="s">
        <v>13</v>
      </c>
      <c r="B2" s="15">
        <v>45324</v>
      </c>
      <c r="C2" s="14" t="s">
        <v>14</v>
      </c>
      <c r="D2" s="14" t="s">
        <v>15</v>
      </c>
      <c r="E2" s="14" t="s">
        <v>16</v>
      </c>
      <c r="F2" s="14" t="s">
        <v>17</v>
      </c>
      <c r="G2" s="14">
        <v>7</v>
      </c>
      <c r="H2" s="14">
        <v>807</v>
      </c>
      <c r="I2" s="14">
        <v>5649</v>
      </c>
      <c r="J2" s="14">
        <v>3723.78</v>
      </c>
      <c r="K2" s="14">
        <v>1925.22</v>
      </c>
      <c r="L2" s="14" t="s">
        <v>18</v>
      </c>
      <c r="M2" s="14" t="s">
        <v>19</v>
      </c>
    </row>
    <row r="3" spans="1:13" x14ac:dyDescent="0.25">
      <c r="A3" s="14" t="s">
        <v>20</v>
      </c>
      <c r="B3" s="15">
        <v>45328</v>
      </c>
      <c r="C3" s="14" t="s">
        <v>21</v>
      </c>
      <c r="D3" s="14" t="s">
        <v>22</v>
      </c>
      <c r="E3" s="14" t="s">
        <v>23</v>
      </c>
      <c r="F3" s="14" t="s">
        <v>24</v>
      </c>
      <c r="G3" s="14">
        <v>4</v>
      </c>
      <c r="H3" s="14">
        <v>798</v>
      </c>
      <c r="I3" s="14">
        <v>3192</v>
      </c>
      <c r="J3" s="14">
        <v>2524.98</v>
      </c>
      <c r="K3" s="14">
        <v>667.02</v>
      </c>
      <c r="L3" s="14" t="s">
        <v>25</v>
      </c>
      <c r="M3" s="14" t="s">
        <v>26</v>
      </c>
    </row>
    <row r="4" spans="1:13" x14ac:dyDescent="0.25">
      <c r="A4" s="14" t="s">
        <v>27</v>
      </c>
      <c r="B4" s="15">
        <v>45503</v>
      </c>
      <c r="C4" s="14" t="s">
        <v>14</v>
      </c>
      <c r="D4" s="14" t="s">
        <v>28</v>
      </c>
      <c r="E4" s="14" t="s">
        <v>16</v>
      </c>
      <c r="F4" s="14" t="s">
        <v>29</v>
      </c>
      <c r="G4" s="14">
        <v>3</v>
      </c>
      <c r="H4" s="14">
        <v>209</v>
      </c>
      <c r="I4" s="14">
        <v>627</v>
      </c>
      <c r="J4" s="14">
        <v>491.51</v>
      </c>
      <c r="K4" s="14">
        <v>135.49</v>
      </c>
      <c r="L4" s="14" t="s">
        <v>18</v>
      </c>
      <c r="M4" s="14" t="s">
        <v>30</v>
      </c>
    </row>
    <row r="5" spans="1:13" x14ac:dyDescent="0.25">
      <c r="A5" s="14" t="s">
        <v>31</v>
      </c>
      <c r="B5" s="15">
        <v>45575</v>
      </c>
      <c r="C5" s="14" t="s">
        <v>21</v>
      </c>
      <c r="D5" s="14" t="s">
        <v>15</v>
      </c>
      <c r="E5" s="14" t="s">
        <v>16</v>
      </c>
      <c r="F5" s="14" t="s">
        <v>29</v>
      </c>
      <c r="G5" s="14">
        <v>4</v>
      </c>
      <c r="H5" s="14">
        <v>570</v>
      </c>
      <c r="I5" s="14">
        <v>2280</v>
      </c>
      <c r="J5" s="14">
        <v>1318.88</v>
      </c>
      <c r="K5" s="14">
        <v>961.12</v>
      </c>
      <c r="L5" s="14" t="s">
        <v>18</v>
      </c>
      <c r="M5" s="14" t="s">
        <v>26</v>
      </c>
    </row>
    <row r="6" spans="1:13" x14ac:dyDescent="0.25">
      <c r="A6" s="14" t="s">
        <v>32</v>
      </c>
      <c r="B6" s="15">
        <v>45381</v>
      </c>
      <c r="C6" s="14" t="s">
        <v>21</v>
      </c>
      <c r="D6" s="14" t="s">
        <v>15</v>
      </c>
      <c r="E6" s="14" t="s">
        <v>16</v>
      </c>
      <c r="F6" s="14" t="s">
        <v>17</v>
      </c>
      <c r="G6" s="14">
        <v>1</v>
      </c>
      <c r="H6" s="14">
        <v>290</v>
      </c>
      <c r="I6" s="14">
        <v>290</v>
      </c>
      <c r="J6" s="14">
        <v>177.03</v>
      </c>
      <c r="K6" s="14">
        <v>112.97</v>
      </c>
      <c r="L6" s="14" t="s">
        <v>18</v>
      </c>
      <c r="M6" s="14" t="s">
        <v>26</v>
      </c>
    </row>
    <row r="7" spans="1:13" x14ac:dyDescent="0.25">
      <c r="A7" s="14" t="s">
        <v>33</v>
      </c>
      <c r="B7" s="15">
        <v>45301</v>
      </c>
      <c r="C7" s="14" t="s">
        <v>21</v>
      </c>
      <c r="D7" s="14" t="s">
        <v>15</v>
      </c>
      <c r="E7" s="14" t="s">
        <v>34</v>
      </c>
      <c r="F7" s="14" t="s">
        <v>35</v>
      </c>
      <c r="G7" s="14">
        <v>5</v>
      </c>
      <c r="H7" s="14">
        <v>282</v>
      </c>
      <c r="I7" s="14">
        <v>1410</v>
      </c>
      <c r="J7" s="14">
        <v>900.67</v>
      </c>
      <c r="K7" s="14">
        <v>509.33</v>
      </c>
      <c r="L7" s="14" t="s">
        <v>25</v>
      </c>
      <c r="M7" s="14" t="s">
        <v>30</v>
      </c>
    </row>
    <row r="8" spans="1:13" x14ac:dyDescent="0.25">
      <c r="A8" s="14" t="s">
        <v>36</v>
      </c>
      <c r="B8" s="15">
        <v>45511</v>
      </c>
      <c r="C8" s="14" t="s">
        <v>14</v>
      </c>
      <c r="D8" s="14" t="s">
        <v>22</v>
      </c>
      <c r="E8" s="14" t="s">
        <v>34</v>
      </c>
      <c r="F8" s="14" t="s">
        <v>35</v>
      </c>
      <c r="G8" s="14">
        <v>1</v>
      </c>
      <c r="H8" s="14">
        <v>27</v>
      </c>
      <c r="I8" s="14">
        <v>27</v>
      </c>
      <c r="J8" s="14">
        <v>15.21</v>
      </c>
      <c r="K8" s="14">
        <v>11.79</v>
      </c>
      <c r="L8" s="14" t="s">
        <v>25</v>
      </c>
      <c r="M8" s="14" t="s">
        <v>26</v>
      </c>
    </row>
    <row r="9" spans="1:13" x14ac:dyDescent="0.25">
      <c r="A9" s="14" t="s">
        <v>37</v>
      </c>
      <c r="B9" s="15">
        <v>45404</v>
      </c>
      <c r="C9" s="14" t="s">
        <v>38</v>
      </c>
      <c r="D9" s="14" t="s">
        <v>22</v>
      </c>
      <c r="E9" s="14" t="s">
        <v>23</v>
      </c>
      <c r="F9" s="14" t="s">
        <v>39</v>
      </c>
      <c r="G9" s="14">
        <v>2</v>
      </c>
      <c r="H9" s="14">
        <v>566</v>
      </c>
      <c r="I9" s="14">
        <v>1132</v>
      </c>
      <c r="J9" s="14">
        <v>582.11</v>
      </c>
      <c r="K9" s="14">
        <v>549.89</v>
      </c>
      <c r="L9" s="14" t="s">
        <v>18</v>
      </c>
      <c r="M9" s="14" t="s">
        <v>26</v>
      </c>
    </row>
    <row r="10" spans="1:13" x14ac:dyDescent="0.25">
      <c r="A10" s="14" t="s">
        <v>40</v>
      </c>
      <c r="B10" s="15">
        <v>45508</v>
      </c>
      <c r="C10" s="14" t="s">
        <v>41</v>
      </c>
      <c r="D10" s="14" t="s">
        <v>42</v>
      </c>
      <c r="E10" s="14" t="s">
        <v>23</v>
      </c>
      <c r="F10" s="14" t="s">
        <v>43</v>
      </c>
      <c r="G10" s="14">
        <v>4</v>
      </c>
      <c r="H10" s="14">
        <v>617</v>
      </c>
      <c r="I10" s="14">
        <v>2468</v>
      </c>
      <c r="J10" s="14">
        <v>1800.63</v>
      </c>
      <c r="K10" s="14">
        <v>667.37</v>
      </c>
      <c r="L10" s="14" t="s">
        <v>25</v>
      </c>
      <c r="M10" s="14" t="s">
        <v>44</v>
      </c>
    </row>
    <row r="11" spans="1:13" x14ac:dyDescent="0.25">
      <c r="A11" s="14" t="s">
        <v>45</v>
      </c>
      <c r="B11" s="15">
        <v>45472</v>
      </c>
      <c r="C11" s="14" t="s">
        <v>14</v>
      </c>
      <c r="D11" s="14" t="s">
        <v>22</v>
      </c>
      <c r="E11" s="14" t="s">
        <v>34</v>
      </c>
      <c r="F11" s="14" t="s">
        <v>35</v>
      </c>
      <c r="G11" s="14">
        <v>1</v>
      </c>
      <c r="H11" s="14">
        <v>177</v>
      </c>
      <c r="I11" s="14">
        <v>177</v>
      </c>
      <c r="J11" s="14">
        <v>120.45</v>
      </c>
      <c r="K11" s="14">
        <v>56.55</v>
      </c>
      <c r="L11" s="14" t="s">
        <v>25</v>
      </c>
      <c r="M11" s="14" t="s">
        <v>19</v>
      </c>
    </row>
    <row r="12" spans="1:13" x14ac:dyDescent="0.25">
      <c r="A12" s="14" t="s">
        <v>46</v>
      </c>
      <c r="B12" s="15">
        <v>45318</v>
      </c>
      <c r="C12" s="14" t="s">
        <v>41</v>
      </c>
      <c r="D12" s="14" t="s">
        <v>42</v>
      </c>
      <c r="E12" s="14" t="s">
        <v>34</v>
      </c>
      <c r="F12" s="14" t="s">
        <v>47</v>
      </c>
      <c r="G12" s="14">
        <v>6</v>
      </c>
      <c r="H12" s="14">
        <v>637</v>
      </c>
      <c r="I12" s="14">
        <v>3822</v>
      </c>
      <c r="J12" s="14">
        <v>2627.73</v>
      </c>
      <c r="K12" s="14">
        <v>1194.27</v>
      </c>
      <c r="L12" s="14" t="s">
        <v>25</v>
      </c>
      <c r="M12" s="14" t="s">
        <v>26</v>
      </c>
    </row>
    <row r="13" spans="1:13" x14ac:dyDescent="0.25">
      <c r="A13" s="14" t="s">
        <v>48</v>
      </c>
      <c r="B13" s="15">
        <v>45542</v>
      </c>
      <c r="C13" s="14" t="s">
        <v>14</v>
      </c>
      <c r="D13" s="14" t="s">
        <v>42</v>
      </c>
      <c r="E13" s="14" t="s">
        <v>34</v>
      </c>
      <c r="F13" s="14" t="s">
        <v>35</v>
      </c>
      <c r="G13" s="14">
        <v>10</v>
      </c>
      <c r="H13" s="14">
        <v>991</v>
      </c>
      <c r="I13" s="14">
        <v>9910</v>
      </c>
      <c r="J13" s="14">
        <v>7598.8</v>
      </c>
      <c r="K13" s="14">
        <v>2311.1999999999998</v>
      </c>
      <c r="L13" s="14" t="s">
        <v>18</v>
      </c>
      <c r="M13" s="14" t="s">
        <v>44</v>
      </c>
    </row>
    <row r="14" spans="1:13" x14ac:dyDescent="0.25">
      <c r="A14" s="14" t="s">
        <v>49</v>
      </c>
      <c r="B14" s="15">
        <v>45423</v>
      </c>
      <c r="C14" s="14" t="s">
        <v>41</v>
      </c>
      <c r="D14" s="14" t="s">
        <v>22</v>
      </c>
      <c r="E14" s="14" t="s">
        <v>16</v>
      </c>
      <c r="F14" s="14" t="s">
        <v>17</v>
      </c>
      <c r="G14" s="14">
        <v>2</v>
      </c>
      <c r="H14" s="14">
        <v>326</v>
      </c>
      <c r="I14" s="14">
        <v>652</v>
      </c>
      <c r="J14" s="14">
        <v>462.81</v>
      </c>
      <c r="K14" s="14">
        <v>189.19</v>
      </c>
      <c r="L14" s="14" t="s">
        <v>25</v>
      </c>
      <c r="M14" s="14" t="s">
        <v>44</v>
      </c>
    </row>
    <row r="15" spans="1:13" x14ac:dyDescent="0.25">
      <c r="A15" s="14" t="s">
        <v>50</v>
      </c>
      <c r="B15" s="15">
        <v>45415</v>
      </c>
      <c r="C15" s="14" t="s">
        <v>38</v>
      </c>
      <c r="D15" s="14" t="s">
        <v>22</v>
      </c>
      <c r="E15" s="14" t="s">
        <v>23</v>
      </c>
      <c r="F15" s="14" t="s">
        <v>24</v>
      </c>
      <c r="G15" s="14">
        <v>7</v>
      </c>
      <c r="H15" s="14">
        <v>403</v>
      </c>
      <c r="I15" s="14">
        <v>2821</v>
      </c>
      <c r="J15" s="14">
        <v>2043.85</v>
      </c>
      <c r="K15" s="14">
        <v>777.15</v>
      </c>
      <c r="L15" s="14" t="s">
        <v>18</v>
      </c>
      <c r="M15" s="14" t="s">
        <v>30</v>
      </c>
    </row>
    <row r="16" spans="1:13" x14ac:dyDescent="0.25">
      <c r="A16" s="14" t="s">
        <v>51</v>
      </c>
      <c r="B16" s="15">
        <v>45379</v>
      </c>
      <c r="C16" s="14" t="s">
        <v>21</v>
      </c>
      <c r="D16" s="14" t="s">
        <v>28</v>
      </c>
      <c r="E16" s="14" t="s">
        <v>23</v>
      </c>
      <c r="F16" s="14" t="s">
        <v>24</v>
      </c>
      <c r="G16" s="14">
        <v>1</v>
      </c>
      <c r="H16" s="14">
        <v>896</v>
      </c>
      <c r="I16" s="14">
        <v>896</v>
      </c>
      <c r="J16" s="14">
        <v>520.92999999999995</v>
      </c>
      <c r="K16" s="14">
        <v>375.07</v>
      </c>
      <c r="L16" s="14" t="s">
        <v>25</v>
      </c>
      <c r="M16" s="14" t="s">
        <v>44</v>
      </c>
    </row>
    <row r="17" spans="1:13" x14ac:dyDescent="0.25">
      <c r="A17" s="14" t="s">
        <v>52</v>
      </c>
      <c r="B17" s="15">
        <v>45310</v>
      </c>
      <c r="C17" s="14" t="s">
        <v>38</v>
      </c>
      <c r="D17" s="14" t="s">
        <v>28</v>
      </c>
      <c r="E17" s="14" t="s">
        <v>34</v>
      </c>
      <c r="F17" s="14" t="s">
        <v>53</v>
      </c>
      <c r="G17" s="14">
        <v>4</v>
      </c>
      <c r="H17" s="14">
        <v>304</v>
      </c>
      <c r="I17" s="14">
        <v>1216</v>
      </c>
      <c r="J17" s="14">
        <v>784.07</v>
      </c>
      <c r="K17" s="14">
        <v>431.93</v>
      </c>
      <c r="L17" s="14" t="s">
        <v>18</v>
      </c>
      <c r="M17" s="14" t="s">
        <v>26</v>
      </c>
    </row>
    <row r="18" spans="1:13" x14ac:dyDescent="0.25">
      <c r="A18" s="14" t="s">
        <v>54</v>
      </c>
      <c r="B18" s="15">
        <v>45318</v>
      </c>
      <c r="C18" s="14" t="s">
        <v>38</v>
      </c>
      <c r="D18" s="14" t="s">
        <v>15</v>
      </c>
      <c r="E18" s="14" t="s">
        <v>34</v>
      </c>
      <c r="F18" s="14" t="s">
        <v>47</v>
      </c>
      <c r="G18" s="14">
        <v>8</v>
      </c>
      <c r="H18" s="14">
        <v>266</v>
      </c>
      <c r="I18" s="14">
        <v>2128</v>
      </c>
      <c r="J18" s="14">
        <v>1487.78</v>
      </c>
      <c r="K18" s="14">
        <v>640.22</v>
      </c>
      <c r="L18" s="14" t="s">
        <v>25</v>
      </c>
      <c r="M18" s="14" t="s">
        <v>44</v>
      </c>
    </row>
    <row r="19" spans="1:13" x14ac:dyDescent="0.25">
      <c r="A19" s="14" t="s">
        <v>55</v>
      </c>
      <c r="B19" s="15">
        <v>45506</v>
      </c>
      <c r="C19" s="14" t="s">
        <v>41</v>
      </c>
      <c r="D19" s="14" t="s">
        <v>22</v>
      </c>
      <c r="E19" s="14" t="s">
        <v>16</v>
      </c>
      <c r="F19" s="14" t="s">
        <v>29</v>
      </c>
      <c r="G19" s="14">
        <v>6</v>
      </c>
      <c r="H19" s="14">
        <v>518</v>
      </c>
      <c r="I19" s="14">
        <v>3108</v>
      </c>
      <c r="J19" s="14">
        <v>2434.62</v>
      </c>
      <c r="K19" s="14">
        <v>673.38</v>
      </c>
      <c r="L19" s="14" t="s">
        <v>18</v>
      </c>
      <c r="M19" s="14" t="s">
        <v>30</v>
      </c>
    </row>
    <row r="20" spans="1:13" x14ac:dyDescent="0.25">
      <c r="A20" s="14" t="s">
        <v>56</v>
      </c>
      <c r="B20" s="15">
        <v>45421</v>
      </c>
      <c r="C20" s="14" t="s">
        <v>38</v>
      </c>
      <c r="D20" s="14" t="s">
        <v>42</v>
      </c>
      <c r="E20" s="14" t="s">
        <v>23</v>
      </c>
      <c r="F20" s="14" t="s">
        <v>24</v>
      </c>
      <c r="G20" s="14">
        <v>8</v>
      </c>
      <c r="H20" s="14">
        <v>839</v>
      </c>
      <c r="I20" s="14">
        <v>6712</v>
      </c>
      <c r="J20" s="14">
        <v>3462</v>
      </c>
      <c r="K20" s="14">
        <v>3250</v>
      </c>
      <c r="L20" s="14" t="s">
        <v>25</v>
      </c>
      <c r="M20" s="14" t="s">
        <v>44</v>
      </c>
    </row>
    <row r="21" spans="1:13" x14ac:dyDescent="0.25">
      <c r="A21" s="14" t="s">
        <v>57</v>
      </c>
      <c r="B21" s="15">
        <v>45297</v>
      </c>
      <c r="C21" s="14" t="s">
        <v>38</v>
      </c>
      <c r="D21" s="14" t="s">
        <v>28</v>
      </c>
      <c r="E21" s="14" t="s">
        <v>23</v>
      </c>
      <c r="F21" s="14" t="s">
        <v>24</v>
      </c>
      <c r="G21" s="14">
        <v>4</v>
      </c>
      <c r="H21" s="14">
        <v>302</v>
      </c>
      <c r="I21" s="14">
        <v>1208</v>
      </c>
      <c r="J21" s="14">
        <v>604.02</v>
      </c>
      <c r="K21" s="14">
        <v>603.98</v>
      </c>
      <c r="L21" s="14" t="s">
        <v>25</v>
      </c>
      <c r="M21" s="14" t="s">
        <v>30</v>
      </c>
    </row>
    <row r="22" spans="1:13" x14ac:dyDescent="0.25">
      <c r="A22" s="14" t="s">
        <v>58</v>
      </c>
      <c r="B22" s="15">
        <v>45499</v>
      </c>
      <c r="C22" s="14" t="s">
        <v>14</v>
      </c>
      <c r="D22" s="14" t="s">
        <v>28</v>
      </c>
      <c r="E22" s="14" t="s">
        <v>34</v>
      </c>
      <c r="F22" s="14" t="s">
        <v>53</v>
      </c>
      <c r="G22" s="14">
        <v>1</v>
      </c>
      <c r="H22" s="14">
        <v>49</v>
      </c>
      <c r="I22" s="14">
        <v>49</v>
      </c>
      <c r="J22" s="14">
        <v>33.270000000000003</v>
      </c>
      <c r="K22" s="14">
        <v>15.73</v>
      </c>
      <c r="L22" s="14" t="s">
        <v>18</v>
      </c>
      <c r="M22" s="14" t="s">
        <v>19</v>
      </c>
    </row>
    <row r="23" spans="1:13" x14ac:dyDescent="0.25">
      <c r="A23" s="14" t="s">
        <v>59</v>
      </c>
      <c r="B23" s="15">
        <v>45572</v>
      </c>
      <c r="C23" s="14" t="s">
        <v>38</v>
      </c>
      <c r="D23" s="14" t="s">
        <v>15</v>
      </c>
      <c r="E23" s="14" t="s">
        <v>16</v>
      </c>
      <c r="F23" s="14" t="s">
        <v>29</v>
      </c>
      <c r="G23" s="14">
        <v>9</v>
      </c>
      <c r="H23" s="14">
        <v>573</v>
      </c>
      <c r="I23" s="14">
        <v>5157</v>
      </c>
      <c r="J23" s="14">
        <v>3101.97</v>
      </c>
      <c r="K23" s="14">
        <v>2055.0300000000002</v>
      </c>
      <c r="L23" s="14" t="s">
        <v>18</v>
      </c>
      <c r="M23" s="14" t="s">
        <v>30</v>
      </c>
    </row>
    <row r="24" spans="1:13" x14ac:dyDescent="0.25">
      <c r="A24" s="14" t="s">
        <v>60</v>
      </c>
      <c r="B24" s="15">
        <v>45463</v>
      </c>
      <c r="C24" s="14" t="s">
        <v>38</v>
      </c>
      <c r="D24" s="14" t="s">
        <v>28</v>
      </c>
      <c r="E24" s="14" t="s">
        <v>23</v>
      </c>
      <c r="F24" s="14" t="s">
        <v>43</v>
      </c>
      <c r="G24" s="14">
        <v>4</v>
      </c>
      <c r="H24" s="14">
        <v>125</v>
      </c>
      <c r="I24" s="14">
        <v>500</v>
      </c>
      <c r="J24" s="14">
        <v>326.42</v>
      </c>
      <c r="K24" s="14">
        <v>173.58</v>
      </c>
      <c r="L24" s="14" t="s">
        <v>18</v>
      </c>
      <c r="M24" s="14" t="s">
        <v>30</v>
      </c>
    </row>
    <row r="25" spans="1:13" x14ac:dyDescent="0.25">
      <c r="A25" s="14" t="s">
        <v>61</v>
      </c>
      <c r="B25" s="15">
        <v>45575</v>
      </c>
      <c r="C25" s="14" t="s">
        <v>14</v>
      </c>
      <c r="D25" s="14" t="s">
        <v>15</v>
      </c>
      <c r="E25" s="14" t="s">
        <v>23</v>
      </c>
      <c r="F25" s="14" t="s">
        <v>39</v>
      </c>
      <c r="G25" s="14">
        <v>8</v>
      </c>
      <c r="H25" s="14">
        <v>657</v>
      </c>
      <c r="I25" s="14">
        <v>5256</v>
      </c>
      <c r="J25" s="14">
        <v>2650.75</v>
      </c>
      <c r="K25" s="14">
        <v>2605.25</v>
      </c>
      <c r="L25" s="14" t="s">
        <v>18</v>
      </c>
      <c r="M25" s="14" t="s">
        <v>30</v>
      </c>
    </row>
    <row r="26" spans="1:13" x14ac:dyDescent="0.25">
      <c r="A26" s="14" t="s">
        <v>62</v>
      </c>
      <c r="B26" s="15">
        <v>45467</v>
      </c>
      <c r="C26" s="14" t="s">
        <v>41</v>
      </c>
      <c r="D26" s="14" t="s">
        <v>22</v>
      </c>
      <c r="E26" s="14" t="s">
        <v>34</v>
      </c>
      <c r="F26" s="14" t="s">
        <v>53</v>
      </c>
      <c r="G26" s="14">
        <v>5</v>
      </c>
      <c r="H26" s="14">
        <v>183</v>
      </c>
      <c r="I26" s="14">
        <v>915</v>
      </c>
      <c r="J26" s="14">
        <v>709.43</v>
      </c>
      <c r="K26" s="14">
        <v>205.57</v>
      </c>
      <c r="L26" s="14" t="s">
        <v>18</v>
      </c>
      <c r="M26" s="14" t="s">
        <v>26</v>
      </c>
    </row>
    <row r="27" spans="1:13" x14ac:dyDescent="0.25">
      <c r="A27" s="14" t="s">
        <v>63</v>
      </c>
      <c r="B27" s="15">
        <v>45318</v>
      </c>
      <c r="C27" s="14" t="s">
        <v>38</v>
      </c>
      <c r="D27" s="14" t="s">
        <v>22</v>
      </c>
      <c r="E27" s="14" t="s">
        <v>16</v>
      </c>
      <c r="F27" s="14" t="s">
        <v>64</v>
      </c>
      <c r="G27" s="14">
        <v>8</v>
      </c>
      <c r="H27" s="14">
        <v>873</v>
      </c>
      <c r="I27" s="14">
        <v>6984</v>
      </c>
      <c r="J27" s="14">
        <v>4072.78</v>
      </c>
      <c r="K27" s="14">
        <v>2911.22</v>
      </c>
      <c r="L27" s="14" t="s">
        <v>18</v>
      </c>
      <c r="M27" s="14" t="s">
        <v>19</v>
      </c>
    </row>
    <row r="28" spans="1:13" x14ac:dyDescent="0.25">
      <c r="A28" s="14" t="s">
        <v>65</v>
      </c>
      <c r="B28" s="15">
        <v>45510</v>
      </c>
      <c r="C28" s="14" t="s">
        <v>38</v>
      </c>
      <c r="D28" s="14" t="s">
        <v>22</v>
      </c>
      <c r="E28" s="14" t="s">
        <v>23</v>
      </c>
      <c r="F28" s="14" t="s">
        <v>24</v>
      </c>
      <c r="G28" s="14">
        <v>5</v>
      </c>
      <c r="H28" s="14">
        <v>581</v>
      </c>
      <c r="I28" s="14">
        <v>2905</v>
      </c>
      <c r="J28" s="14">
        <v>2100.98</v>
      </c>
      <c r="K28" s="14">
        <v>804.02</v>
      </c>
      <c r="L28" s="14" t="s">
        <v>25</v>
      </c>
      <c r="M28" s="14" t="s">
        <v>19</v>
      </c>
    </row>
    <row r="29" spans="1:13" x14ac:dyDescent="0.25">
      <c r="A29" s="14" t="s">
        <v>66</v>
      </c>
      <c r="B29" s="15">
        <v>45471</v>
      </c>
      <c r="C29" s="14" t="s">
        <v>38</v>
      </c>
      <c r="D29" s="14" t="s">
        <v>28</v>
      </c>
      <c r="E29" s="14" t="s">
        <v>34</v>
      </c>
      <c r="F29" s="14" t="s">
        <v>53</v>
      </c>
      <c r="G29" s="14">
        <v>1</v>
      </c>
      <c r="H29" s="14">
        <v>910</v>
      </c>
      <c r="I29" s="14">
        <v>910</v>
      </c>
      <c r="J29" s="14">
        <v>468.23</v>
      </c>
      <c r="K29" s="14">
        <v>441.77</v>
      </c>
      <c r="L29" s="14" t="s">
        <v>25</v>
      </c>
      <c r="M29" s="14" t="s">
        <v>30</v>
      </c>
    </row>
    <row r="30" spans="1:13" x14ac:dyDescent="0.25">
      <c r="A30" s="14" t="s">
        <v>67</v>
      </c>
      <c r="B30" s="15">
        <v>45376</v>
      </c>
      <c r="C30" s="14" t="s">
        <v>21</v>
      </c>
      <c r="D30" s="14" t="s">
        <v>15</v>
      </c>
      <c r="E30" s="14" t="s">
        <v>23</v>
      </c>
      <c r="F30" s="14" t="s">
        <v>39</v>
      </c>
      <c r="G30" s="14">
        <v>4</v>
      </c>
      <c r="H30" s="14">
        <v>509</v>
      </c>
      <c r="I30" s="14">
        <v>2036</v>
      </c>
      <c r="J30" s="14">
        <v>1366.57</v>
      </c>
      <c r="K30" s="14">
        <v>669.43</v>
      </c>
      <c r="L30" s="14" t="s">
        <v>25</v>
      </c>
      <c r="M30" s="14" t="s">
        <v>44</v>
      </c>
    </row>
    <row r="31" spans="1:13" x14ac:dyDescent="0.25">
      <c r="A31" s="14" t="s">
        <v>68</v>
      </c>
      <c r="B31" s="15">
        <v>45576</v>
      </c>
      <c r="C31" s="14" t="s">
        <v>14</v>
      </c>
      <c r="D31" s="14" t="s">
        <v>42</v>
      </c>
      <c r="E31" s="14" t="s">
        <v>23</v>
      </c>
      <c r="F31" s="14" t="s">
        <v>39</v>
      </c>
      <c r="G31" s="14">
        <v>4</v>
      </c>
      <c r="H31" s="14">
        <v>559</v>
      </c>
      <c r="I31" s="14">
        <v>2236</v>
      </c>
      <c r="J31" s="14">
        <v>1313.47</v>
      </c>
      <c r="K31" s="14">
        <v>922.53</v>
      </c>
      <c r="L31" s="14" t="s">
        <v>18</v>
      </c>
      <c r="M31" s="14" t="s">
        <v>30</v>
      </c>
    </row>
    <row r="32" spans="1:13" x14ac:dyDescent="0.25">
      <c r="A32" s="14" t="s">
        <v>69</v>
      </c>
      <c r="B32" s="15">
        <v>45369</v>
      </c>
      <c r="C32" s="14" t="s">
        <v>41</v>
      </c>
      <c r="D32" s="14" t="s">
        <v>42</v>
      </c>
      <c r="E32" s="14" t="s">
        <v>23</v>
      </c>
      <c r="F32" s="14" t="s">
        <v>24</v>
      </c>
      <c r="G32" s="14">
        <v>5</v>
      </c>
      <c r="H32" s="14">
        <v>83</v>
      </c>
      <c r="I32" s="14">
        <v>415</v>
      </c>
      <c r="J32" s="14">
        <v>248.96</v>
      </c>
      <c r="K32" s="14">
        <v>166.04</v>
      </c>
      <c r="L32" s="14" t="s">
        <v>18</v>
      </c>
      <c r="M32" s="14" t="s">
        <v>30</v>
      </c>
    </row>
    <row r="33" spans="1:13" x14ac:dyDescent="0.25">
      <c r="A33" s="14" t="s">
        <v>70</v>
      </c>
      <c r="B33" s="15">
        <v>45380</v>
      </c>
      <c r="C33" s="14" t="s">
        <v>21</v>
      </c>
      <c r="D33" s="14" t="s">
        <v>22</v>
      </c>
      <c r="E33" s="14" t="s">
        <v>34</v>
      </c>
      <c r="F33" s="14" t="s">
        <v>53</v>
      </c>
      <c r="G33" s="14">
        <v>1</v>
      </c>
      <c r="H33" s="14">
        <v>897</v>
      </c>
      <c r="I33" s="14">
        <v>897</v>
      </c>
      <c r="J33" s="14">
        <v>689.2</v>
      </c>
      <c r="K33" s="14">
        <v>207.8</v>
      </c>
      <c r="L33" s="14" t="s">
        <v>18</v>
      </c>
      <c r="M33" s="14" t="s">
        <v>19</v>
      </c>
    </row>
    <row r="34" spans="1:13" x14ac:dyDescent="0.25">
      <c r="A34" s="14" t="s">
        <v>71</v>
      </c>
      <c r="B34" s="15">
        <v>45474</v>
      </c>
      <c r="C34" s="14" t="s">
        <v>14</v>
      </c>
      <c r="D34" s="14" t="s">
        <v>22</v>
      </c>
      <c r="E34" s="14" t="s">
        <v>23</v>
      </c>
      <c r="F34" s="14" t="s">
        <v>24</v>
      </c>
      <c r="G34" s="14">
        <v>4</v>
      </c>
      <c r="H34" s="14">
        <v>739</v>
      </c>
      <c r="I34" s="14">
        <v>2956</v>
      </c>
      <c r="J34" s="14">
        <v>1872.9</v>
      </c>
      <c r="K34" s="14">
        <v>1083.0999999999999</v>
      </c>
      <c r="L34" s="14" t="s">
        <v>25</v>
      </c>
      <c r="M34" s="14" t="s">
        <v>19</v>
      </c>
    </row>
    <row r="35" spans="1:13" x14ac:dyDescent="0.25">
      <c r="A35" s="14" t="s">
        <v>72</v>
      </c>
      <c r="B35" s="15">
        <v>45466</v>
      </c>
      <c r="C35" s="14" t="s">
        <v>14</v>
      </c>
      <c r="D35" s="14" t="s">
        <v>28</v>
      </c>
      <c r="E35" s="14" t="s">
        <v>23</v>
      </c>
      <c r="F35" s="14" t="s">
        <v>43</v>
      </c>
      <c r="G35" s="14">
        <v>6</v>
      </c>
      <c r="H35" s="14">
        <v>737</v>
      </c>
      <c r="I35" s="14">
        <v>4422</v>
      </c>
      <c r="J35" s="14">
        <v>2547.29</v>
      </c>
      <c r="K35" s="14">
        <v>1874.71</v>
      </c>
      <c r="L35" s="14" t="s">
        <v>18</v>
      </c>
      <c r="M35" s="14" t="s">
        <v>30</v>
      </c>
    </row>
    <row r="36" spans="1:13" x14ac:dyDescent="0.25">
      <c r="A36" s="14" t="s">
        <v>73</v>
      </c>
      <c r="B36" s="15">
        <v>45364</v>
      </c>
      <c r="C36" s="14" t="s">
        <v>14</v>
      </c>
      <c r="D36" s="14" t="s">
        <v>15</v>
      </c>
      <c r="E36" s="14" t="s">
        <v>16</v>
      </c>
      <c r="F36" s="14" t="s">
        <v>29</v>
      </c>
      <c r="G36" s="14">
        <v>3</v>
      </c>
      <c r="H36" s="14">
        <v>625</v>
      </c>
      <c r="I36" s="14">
        <v>1875</v>
      </c>
      <c r="J36" s="14">
        <v>1324.98</v>
      </c>
      <c r="K36" s="14">
        <v>550.02</v>
      </c>
      <c r="L36" s="14" t="s">
        <v>18</v>
      </c>
      <c r="M36" s="14" t="s">
        <v>44</v>
      </c>
    </row>
    <row r="37" spans="1:13" x14ac:dyDescent="0.25">
      <c r="A37" s="14" t="s">
        <v>74</v>
      </c>
      <c r="B37" s="15">
        <v>45472</v>
      </c>
      <c r="C37" s="14" t="s">
        <v>41</v>
      </c>
      <c r="D37" s="14" t="s">
        <v>22</v>
      </c>
      <c r="E37" s="14" t="s">
        <v>16</v>
      </c>
      <c r="F37" s="14" t="s">
        <v>29</v>
      </c>
      <c r="G37" s="14">
        <v>5</v>
      </c>
      <c r="H37" s="14">
        <v>452</v>
      </c>
      <c r="I37" s="14">
        <v>2260</v>
      </c>
      <c r="J37" s="14">
        <v>1537.07</v>
      </c>
      <c r="K37" s="14">
        <v>722.93</v>
      </c>
      <c r="L37" s="14" t="s">
        <v>18</v>
      </c>
      <c r="M37" s="14" t="s">
        <v>44</v>
      </c>
    </row>
    <row r="38" spans="1:13" x14ac:dyDescent="0.25">
      <c r="A38" s="14" t="s">
        <v>75</v>
      </c>
      <c r="B38" s="15">
        <v>45575</v>
      </c>
      <c r="C38" s="14" t="s">
        <v>14</v>
      </c>
      <c r="D38" s="14" t="s">
        <v>28</v>
      </c>
      <c r="E38" s="14" t="s">
        <v>34</v>
      </c>
      <c r="F38" s="14" t="s">
        <v>47</v>
      </c>
      <c r="G38" s="14">
        <v>10</v>
      </c>
      <c r="H38" s="14">
        <v>594</v>
      </c>
      <c r="I38" s="14">
        <v>5940</v>
      </c>
      <c r="J38" s="14">
        <v>3677.21</v>
      </c>
      <c r="K38" s="14">
        <v>2262.79</v>
      </c>
      <c r="L38" s="14" t="s">
        <v>25</v>
      </c>
      <c r="M38" s="14" t="s">
        <v>19</v>
      </c>
    </row>
    <row r="39" spans="1:13" x14ac:dyDescent="0.25">
      <c r="A39" s="14" t="s">
        <v>76</v>
      </c>
      <c r="B39" s="15">
        <v>45583</v>
      </c>
      <c r="C39" s="14" t="s">
        <v>14</v>
      </c>
      <c r="D39" s="14" t="s">
        <v>42</v>
      </c>
      <c r="E39" s="14" t="s">
        <v>34</v>
      </c>
      <c r="F39" s="14" t="s">
        <v>47</v>
      </c>
      <c r="G39" s="14">
        <v>10</v>
      </c>
      <c r="H39" s="14">
        <v>532</v>
      </c>
      <c r="I39" s="14">
        <v>5320</v>
      </c>
      <c r="J39" s="14">
        <v>3634.72</v>
      </c>
      <c r="K39" s="14">
        <v>1685.28</v>
      </c>
      <c r="L39" s="14" t="s">
        <v>25</v>
      </c>
      <c r="M39" s="14" t="s">
        <v>30</v>
      </c>
    </row>
    <row r="40" spans="1:13" x14ac:dyDescent="0.25">
      <c r="A40" s="14" t="s">
        <v>77</v>
      </c>
      <c r="B40" s="15">
        <v>45410</v>
      </c>
      <c r="C40" s="14" t="s">
        <v>21</v>
      </c>
      <c r="D40" s="14" t="s">
        <v>42</v>
      </c>
      <c r="E40" s="14" t="s">
        <v>16</v>
      </c>
      <c r="F40" s="14" t="s">
        <v>64</v>
      </c>
      <c r="G40" s="14">
        <v>1</v>
      </c>
      <c r="H40" s="14">
        <v>153</v>
      </c>
      <c r="I40" s="14">
        <v>153</v>
      </c>
      <c r="J40" s="14">
        <v>80.88</v>
      </c>
      <c r="K40" s="14">
        <v>72.12</v>
      </c>
      <c r="L40" s="14" t="s">
        <v>25</v>
      </c>
      <c r="M40" s="14" t="s">
        <v>26</v>
      </c>
    </row>
    <row r="41" spans="1:13" x14ac:dyDescent="0.25">
      <c r="A41" s="14" t="s">
        <v>78</v>
      </c>
      <c r="B41" s="15">
        <v>45439</v>
      </c>
      <c r="C41" s="14" t="s">
        <v>14</v>
      </c>
      <c r="D41" s="14" t="s">
        <v>42</v>
      </c>
      <c r="E41" s="14" t="s">
        <v>23</v>
      </c>
      <c r="F41" s="14" t="s">
        <v>24</v>
      </c>
      <c r="G41" s="14">
        <v>6</v>
      </c>
      <c r="H41" s="14">
        <v>582</v>
      </c>
      <c r="I41" s="14">
        <v>3492</v>
      </c>
      <c r="J41" s="14">
        <v>1763.57</v>
      </c>
      <c r="K41" s="14">
        <v>1728.43</v>
      </c>
      <c r="L41" s="14" t="s">
        <v>18</v>
      </c>
      <c r="M41" s="14" t="s">
        <v>19</v>
      </c>
    </row>
    <row r="42" spans="1:13" x14ac:dyDescent="0.25">
      <c r="A42" s="14" t="s">
        <v>79</v>
      </c>
      <c r="B42" s="15">
        <v>45449</v>
      </c>
      <c r="C42" s="14" t="s">
        <v>41</v>
      </c>
      <c r="D42" s="14" t="s">
        <v>42</v>
      </c>
      <c r="E42" s="14" t="s">
        <v>16</v>
      </c>
      <c r="F42" s="14" t="s">
        <v>17</v>
      </c>
      <c r="G42" s="14">
        <v>4</v>
      </c>
      <c r="H42" s="14">
        <v>233</v>
      </c>
      <c r="I42" s="14">
        <v>932</v>
      </c>
      <c r="J42" s="14">
        <v>513.75</v>
      </c>
      <c r="K42" s="14">
        <v>418.25</v>
      </c>
      <c r="L42" s="14" t="s">
        <v>18</v>
      </c>
      <c r="M42" s="14" t="s">
        <v>30</v>
      </c>
    </row>
    <row r="43" spans="1:13" x14ac:dyDescent="0.25">
      <c r="A43" s="14" t="s">
        <v>80</v>
      </c>
      <c r="B43" s="15">
        <v>45382</v>
      </c>
      <c r="C43" s="14" t="s">
        <v>41</v>
      </c>
      <c r="D43" s="14" t="s">
        <v>15</v>
      </c>
      <c r="E43" s="14" t="s">
        <v>16</v>
      </c>
      <c r="F43" s="14" t="s">
        <v>64</v>
      </c>
      <c r="G43" s="14">
        <v>1</v>
      </c>
      <c r="H43" s="14">
        <v>541</v>
      </c>
      <c r="I43" s="14">
        <v>541</v>
      </c>
      <c r="J43" s="14">
        <v>322.38</v>
      </c>
      <c r="K43" s="14">
        <v>218.62</v>
      </c>
      <c r="L43" s="14" t="s">
        <v>25</v>
      </c>
      <c r="M43" s="14" t="s">
        <v>44</v>
      </c>
    </row>
    <row r="44" spans="1:13" x14ac:dyDescent="0.25">
      <c r="A44" s="14" t="s">
        <v>81</v>
      </c>
      <c r="B44" s="15">
        <v>45560</v>
      </c>
      <c r="C44" s="14" t="s">
        <v>38</v>
      </c>
      <c r="D44" s="14" t="s">
        <v>22</v>
      </c>
      <c r="E44" s="14" t="s">
        <v>16</v>
      </c>
      <c r="F44" s="14" t="s">
        <v>17</v>
      </c>
      <c r="G44" s="14">
        <v>8</v>
      </c>
      <c r="H44" s="14">
        <v>831</v>
      </c>
      <c r="I44" s="14">
        <v>6648</v>
      </c>
      <c r="J44" s="14">
        <v>4129.49</v>
      </c>
      <c r="K44" s="14">
        <v>2518.5100000000002</v>
      </c>
      <c r="L44" s="14" t="s">
        <v>18</v>
      </c>
      <c r="M44" s="14" t="s">
        <v>44</v>
      </c>
    </row>
    <row r="45" spans="1:13" x14ac:dyDescent="0.25">
      <c r="A45" s="14" t="s">
        <v>82</v>
      </c>
      <c r="B45" s="15">
        <v>45307</v>
      </c>
      <c r="C45" s="14" t="s">
        <v>21</v>
      </c>
      <c r="D45" s="14" t="s">
        <v>42</v>
      </c>
      <c r="E45" s="14" t="s">
        <v>23</v>
      </c>
      <c r="F45" s="14" t="s">
        <v>24</v>
      </c>
      <c r="G45" s="14">
        <v>7</v>
      </c>
      <c r="H45" s="14">
        <v>70</v>
      </c>
      <c r="I45" s="14">
        <v>490</v>
      </c>
      <c r="J45" s="14">
        <v>246.42</v>
      </c>
      <c r="K45" s="14">
        <v>243.58</v>
      </c>
      <c r="L45" s="14" t="s">
        <v>25</v>
      </c>
      <c r="M45" s="14" t="s">
        <v>30</v>
      </c>
    </row>
    <row r="46" spans="1:13" x14ac:dyDescent="0.25">
      <c r="A46" s="14" t="s">
        <v>83</v>
      </c>
      <c r="B46" s="15">
        <v>45293</v>
      </c>
      <c r="C46" s="14" t="s">
        <v>14</v>
      </c>
      <c r="D46" s="14" t="s">
        <v>22</v>
      </c>
      <c r="E46" s="14" t="s">
        <v>16</v>
      </c>
      <c r="F46" s="14" t="s">
        <v>29</v>
      </c>
      <c r="G46" s="14">
        <v>3</v>
      </c>
      <c r="H46" s="14">
        <v>526</v>
      </c>
      <c r="I46" s="14">
        <v>1578</v>
      </c>
      <c r="J46" s="14">
        <v>860.34</v>
      </c>
      <c r="K46" s="14">
        <v>717.66</v>
      </c>
      <c r="L46" s="14" t="s">
        <v>18</v>
      </c>
      <c r="M46" s="14" t="s">
        <v>19</v>
      </c>
    </row>
    <row r="47" spans="1:13" x14ac:dyDescent="0.25">
      <c r="A47" s="14" t="s">
        <v>84</v>
      </c>
      <c r="B47" s="15">
        <v>45416</v>
      </c>
      <c r="C47" s="14" t="s">
        <v>41</v>
      </c>
      <c r="D47" s="14" t="s">
        <v>42</v>
      </c>
      <c r="E47" s="14" t="s">
        <v>34</v>
      </c>
      <c r="F47" s="14" t="s">
        <v>47</v>
      </c>
      <c r="G47" s="14">
        <v>6</v>
      </c>
      <c r="H47" s="14">
        <v>842</v>
      </c>
      <c r="I47" s="14">
        <v>5052</v>
      </c>
      <c r="J47" s="14">
        <v>3084.04</v>
      </c>
      <c r="K47" s="14">
        <v>1967.96</v>
      </c>
      <c r="L47" s="14" t="s">
        <v>18</v>
      </c>
      <c r="M47" s="14" t="s">
        <v>44</v>
      </c>
    </row>
    <row r="48" spans="1:13" x14ac:dyDescent="0.25">
      <c r="A48" s="14" t="s">
        <v>85</v>
      </c>
      <c r="B48" s="15">
        <v>45536</v>
      </c>
      <c r="C48" s="14" t="s">
        <v>38</v>
      </c>
      <c r="D48" s="14" t="s">
        <v>28</v>
      </c>
      <c r="E48" s="14" t="s">
        <v>34</v>
      </c>
      <c r="F48" s="14" t="s">
        <v>53</v>
      </c>
      <c r="G48" s="14">
        <v>5</v>
      </c>
      <c r="H48" s="14">
        <v>426</v>
      </c>
      <c r="I48" s="14">
        <v>2130</v>
      </c>
      <c r="J48" s="14">
        <v>1379.99</v>
      </c>
      <c r="K48" s="14">
        <v>750.01</v>
      </c>
      <c r="L48" s="14" t="s">
        <v>18</v>
      </c>
      <c r="M48" s="14" t="s">
        <v>30</v>
      </c>
    </row>
    <row r="49" spans="1:13" x14ac:dyDescent="0.25">
      <c r="A49" s="14" t="s">
        <v>86</v>
      </c>
      <c r="B49" s="15">
        <v>45316</v>
      </c>
      <c r="C49" s="14" t="s">
        <v>38</v>
      </c>
      <c r="D49" s="14" t="s">
        <v>22</v>
      </c>
      <c r="E49" s="14" t="s">
        <v>23</v>
      </c>
      <c r="F49" s="14" t="s">
        <v>24</v>
      </c>
      <c r="G49" s="14">
        <v>2</v>
      </c>
      <c r="H49" s="14">
        <v>945</v>
      </c>
      <c r="I49" s="14">
        <v>1890</v>
      </c>
      <c r="J49" s="14">
        <v>1130.55</v>
      </c>
      <c r="K49" s="14">
        <v>759.45</v>
      </c>
      <c r="L49" s="14" t="s">
        <v>18</v>
      </c>
      <c r="M49" s="14" t="s">
        <v>19</v>
      </c>
    </row>
    <row r="50" spans="1:13" x14ac:dyDescent="0.25">
      <c r="A50" s="14" t="s">
        <v>87</v>
      </c>
      <c r="B50" s="15">
        <v>45586</v>
      </c>
      <c r="C50" s="14" t="s">
        <v>14</v>
      </c>
      <c r="D50" s="14" t="s">
        <v>42</v>
      </c>
      <c r="E50" s="14" t="s">
        <v>16</v>
      </c>
      <c r="F50" s="14" t="s">
        <v>17</v>
      </c>
      <c r="G50" s="14">
        <v>10</v>
      </c>
      <c r="H50" s="14">
        <v>171</v>
      </c>
      <c r="I50" s="14">
        <v>1710</v>
      </c>
      <c r="J50" s="14">
        <v>957.54</v>
      </c>
      <c r="K50" s="14">
        <v>752.46</v>
      </c>
      <c r="L50" s="14" t="s">
        <v>25</v>
      </c>
      <c r="M50" s="14" t="s">
        <v>44</v>
      </c>
    </row>
    <row r="51" spans="1:13" x14ac:dyDescent="0.25">
      <c r="A51" s="14" t="s">
        <v>88</v>
      </c>
      <c r="B51" s="15">
        <v>45382</v>
      </c>
      <c r="C51" s="14" t="s">
        <v>41</v>
      </c>
      <c r="D51" s="14" t="s">
        <v>42</v>
      </c>
      <c r="E51" s="14" t="s">
        <v>34</v>
      </c>
      <c r="F51" s="14" t="s">
        <v>35</v>
      </c>
      <c r="G51" s="14">
        <v>7</v>
      </c>
      <c r="H51" s="14">
        <v>629</v>
      </c>
      <c r="I51" s="14">
        <v>4403</v>
      </c>
      <c r="J51" s="14">
        <v>2965.67</v>
      </c>
      <c r="K51" s="14">
        <v>1437.33</v>
      </c>
      <c r="L51" s="14" t="s">
        <v>25</v>
      </c>
      <c r="M51" s="14" t="s">
        <v>30</v>
      </c>
    </row>
    <row r="52" spans="1:13" x14ac:dyDescent="0.25">
      <c r="A52" s="14" t="s">
        <v>89</v>
      </c>
      <c r="B52" s="15">
        <v>45507</v>
      </c>
      <c r="C52" s="14" t="s">
        <v>38</v>
      </c>
      <c r="D52" s="14" t="s">
        <v>28</v>
      </c>
      <c r="E52" s="14" t="s">
        <v>34</v>
      </c>
      <c r="F52" s="14" t="s">
        <v>35</v>
      </c>
      <c r="G52" s="14">
        <v>4</v>
      </c>
      <c r="H52" s="14">
        <v>798</v>
      </c>
      <c r="I52" s="14">
        <v>3192</v>
      </c>
      <c r="J52" s="14">
        <v>2449.89</v>
      </c>
      <c r="K52" s="14">
        <v>742.11</v>
      </c>
      <c r="L52" s="14" t="s">
        <v>18</v>
      </c>
      <c r="M52" s="14" t="s">
        <v>44</v>
      </c>
    </row>
    <row r="53" spans="1:13" x14ac:dyDescent="0.25">
      <c r="A53" s="14" t="s">
        <v>90</v>
      </c>
      <c r="B53" s="15">
        <v>45487</v>
      </c>
      <c r="C53" s="14" t="s">
        <v>14</v>
      </c>
      <c r="D53" s="14" t="s">
        <v>22</v>
      </c>
      <c r="E53" s="14" t="s">
        <v>16</v>
      </c>
      <c r="F53" s="14" t="s">
        <v>29</v>
      </c>
      <c r="G53" s="14">
        <v>10</v>
      </c>
      <c r="H53" s="14">
        <v>850</v>
      </c>
      <c r="I53" s="14">
        <v>8500</v>
      </c>
      <c r="J53" s="14">
        <v>4535.6000000000004</v>
      </c>
      <c r="K53" s="14">
        <v>3964.4</v>
      </c>
      <c r="L53" s="14" t="s">
        <v>18</v>
      </c>
      <c r="M53" s="14" t="s">
        <v>19</v>
      </c>
    </row>
    <row r="54" spans="1:13" x14ac:dyDescent="0.25">
      <c r="A54" s="14" t="s">
        <v>91</v>
      </c>
      <c r="B54" s="15">
        <v>45544</v>
      </c>
      <c r="C54" s="14" t="s">
        <v>21</v>
      </c>
      <c r="D54" s="14" t="s">
        <v>15</v>
      </c>
      <c r="E54" s="14" t="s">
        <v>34</v>
      </c>
      <c r="F54" s="14" t="s">
        <v>53</v>
      </c>
      <c r="G54" s="14">
        <v>5</v>
      </c>
      <c r="H54" s="14">
        <v>580</v>
      </c>
      <c r="I54" s="14">
        <v>2900</v>
      </c>
      <c r="J54" s="14">
        <v>1507.94</v>
      </c>
      <c r="K54" s="14">
        <v>1392.06</v>
      </c>
      <c r="L54" s="14" t="s">
        <v>25</v>
      </c>
      <c r="M54" s="14" t="s">
        <v>26</v>
      </c>
    </row>
    <row r="55" spans="1:13" x14ac:dyDescent="0.25">
      <c r="A55" s="14" t="s">
        <v>92</v>
      </c>
      <c r="B55" s="15">
        <v>45579</v>
      </c>
      <c r="C55" s="14" t="s">
        <v>41</v>
      </c>
      <c r="D55" s="14" t="s">
        <v>28</v>
      </c>
      <c r="E55" s="14" t="s">
        <v>16</v>
      </c>
      <c r="F55" s="14" t="s">
        <v>64</v>
      </c>
      <c r="G55" s="14">
        <v>6</v>
      </c>
      <c r="H55" s="14">
        <v>489</v>
      </c>
      <c r="I55" s="14">
        <v>2934</v>
      </c>
      <c r="J55" s="14">
        <v>2039.85</v>
      </c>
      <c r="K55" s="14">
        <v>894.15</v>
      </c>
      <c r="L55" s="14" t="s">
        <v>25</v>
      </c>
      <c r="M55" s="14" t="s">
        <v>44</v>
      </c>
    </row>
    <row r="56" spans="1:13" x14ac:dyDescent="0.25">
      <c r="A56" s="14" t="s">
        <v>93</v>
      </c>
      <c r="B56" s="15">
        <v>45559</v>
      </c>
      <c r="C56" s="14" t="s">
        <v>38</v>
      </c>
      <c r="D56" s="14" t="s">
        <v>42</v>
      </c>
      <c r="E56" s="14" t="s">
        <v>23</v>
      </c>
      <c r="F56" s="14" t="s">
        <v>43</v>
      </c>
      <c r="G56" s="14">
        <v>10</v>
      </c>
      <c r="H56" s="14">
        <v>578</v>
      </c>
      <c r="I56" s="14">
        <v>5780</v>
      </c>
      <c r="J56" s="14">
        <v>4190.95</v>
      </c>
      <c r="K56" s="14">
        <v>1589.05</v>
      </c>
      <c r="L56" s="14" t="s">
        <v>18</v>
      </c>
      <c r="M56" s="14" t="s">
        <v>19</v>
      </c>
    </row>
    <row r="57" spans="1:13" x14ac:dyDescent="0.25">
      <c r="A57" s="14" t="s">
        <v>94</v>
      </c>
      <c r="B57" s="15">
        <v>45363</v>
      </c>
      <c r="C57" s="14" t="s">
        <v>14</v>
      </c>
      <c r="D57" s="14" t="s">
        <v>28</v>
      </c>
      <c r="E57" s="14" t="s">
        <v>34</v>
      </c>
      <c r="F57" s="14" t="s">
        <v>47</v>
      </c>
      <c r="G57" s="14">
        <v>10</v>
      </c>
      <c r="H57" s="14">
        <v>737</v>
      </c>
      <c r="I57" s="14">
        <v>7370</v>
      </c>
      <c r="J57" s="14">
        <v>5349.17</v>
      </c>
      <c r="K57" s="14">
        <v>2020.83</v>
      </c>
      <c r="L57" s="14" t="s">
        <v>25</v>
      </c>
      <c r="M57" s="14" t="s">
        <v>26</v>
      </c>
    </row>
    <row r="58" spans="1:13" x14ac:dyDescent="0.25">
      <c r="A58" s="14" t="s">
        <v>95</v>
      </c>
      <c r="B58" s="15">
        <v>45314</v>
      </c>
      <c r="C58" s="14" t="s">
        <v>41</v>
      </c>
      <c r="D58" s="14" t="s">
        <v>22</v>
      </c>
      <c r="E58" s="14" t="s">
        <v>16</v>
      </c>
      <c r="F58" s="14" t="s">
        <v>17</v>
      </c>
      <c r="G58" s="14">
        <v>10</v>
      </c>
      <c r="H58" s="14">
        <v>626</v>
      </c>
      <c r="I58" s="14">
        <v>6260</v>
      </c>
      <c r="J58" s="14">
        <v>3933.15</v>
      </c>
      <c r="K58" s="14">
        <v>2326.85</v>
      </c>
      <c r="L58" s="14" t="s">
        <v>25</v>
      </c>
      <c r="M58" s="14" t="s">
        <v>30</v>
      </c>
    </row>
    <row r="59" spans="1:13" x14ac:dyDescent="0.25">
      <c r="A59" s="14" t="s">
        <v>96</v>
      </c>
      <c r="B59" s="15">
        <v>45403</v>
      </c>
      <c r="C59" s="14" t="s">
        <v>41</v>
      </c>
      <c r="D59" s="14" t="s">
        <v>15</v>
      </c>
      <c r="E59" s="14" t="s">
        <v>16</v>
      </c>
      <c r="F59" s="14" t="s">
        <v>17</v>
      </c>
      <c r="G59" s="14">
        <v>3</v>
      </c>
      <c r="H59" s="14">
        <v>817</v>
      </c>
      <c r="I59" s="14">
        <v>2451</v>
      </c>
      <c r="J59" s="14">
        <v>1845.94</v>
      </c>
      <c r="K59" s="14">
        <v>605.05999999999995</v>
      </c>
      <c r="L59" s="14" t="s">
        <v>18</v>
      </c>
      <c r="M59" s="14" t="s">
        <v>30</v>
      </c>
    </row>
    <row r="60" spans="1:13" x14ac:dyDescent="0.25">
      <c r="A60" s="14" t="s">
        <v>97</v>
      </c>
      <c r="B60" s="15">
        <v>45341</v>
      </c>
      <c r="C60" s="14" t="s">
        <v>41</v>
      </c>
      <c r="D60" s="14" t="s">
        <v>15</v>
      </c>
      <c r="E60" s="14" t="s">
        <v>23</v>
      </c>
      <c r="F60" s="14" t="s">
        <v>24</v>
      </c>
      <c r="G60" s="14">
        <v>5</v>
      </c>
      <c r="H60" s="14">
        <v>65</v>
      </c>
      <c r="I60" s="14">
        <v>325</v>
      </c>
      <c r="J60" s="14">
        <v>172.69</v>
      </c>
      <c r="K60" s="14">
        <v>152.31</v>
      </c>
      <c r="L60" s="14" t="s">
        <v>25</v>
      </c>
      <c r="M60" s="14" t="s">
        <v>26</v>
      </c>
    </row>
    <row r="61" spans="1:13" x14ac:dyDescent="0.25">
      <c r="A61" s="14" t="s">
        <v>98</v>
      </c>
      <c r="B61" s="15">
        <v>45546</v>
      </c>
      <c r="C61" s="14" t="s">
        <v>21</v>
      </c>
      <c r="D61" s="14" t="s">
        <v>28</v>
      </c>
      <c r="E61" s="14" t="s">
        <v>34</v>
      </c>
      <c r="F61" s="14" t="s">
        <v>53</v>
      </c>
      <c r="G61" s="14">
        <v>3</v>
      </c>
      <c r="H61" s="14">
        <v>59</v>
      </c>
      <c r="I61" s="14">
        <v>177</v>
      </c>
      <c r="J61" s="14">
        <v>104.36</v>
      </c>
      <c r="K61" s="14">
        <v>72.64</v>
      </c>
      <c r="L61" s="14" t="s">
        <v>25</v>
      </c>
      <c r="M61" s="14" t="s">
        <v>19</v>
      </c>
    </row>
    <row r="62" spans="1:13" x14ac:dyDescent="0.25">
      <c r="A62" s="14" t="s">
        <v>99</v>
      </c>
      <c r="B62" s="15">
        <v>45364</v>
      </c>
      <c r="C62" s="14" t="s">
        <v>41</v>
      </c>
      <c r="D62" s="14" t="s">
        <v>28</v>
      </c>
      <c r="E62" s="14" t="s">
        <v>34</v>
      </c>
      <c r="F62" s="14" t="s">
        <v>35</v>
      </c>
      <c r="G62" s="14">
        <v>5</v>
      </c>
      <c r="H62" s="14">
        <v>332</v>
      </c>
      <c r="I62" s="14">
        <v>1660</v>
      </c>
      <c r="J62" s="14">
        <v>1127.02</v>
      </c>
      <c r="K62" s="14">
        <v>532.98</v>
      </c>
      <c r="L62" s="14" t="s">
        <v>25</v>
      </c>
      <c r="M62" s="14" t="s">
        <v>19</v>
      </c>
    </row>
    <row r="63" spans="1:13" x14ac:dyDescent="0.25">
      <c r="A63" s="14" t="s">
        <v>100</v>
      </c>
      <c r="B63" s="15">
        <v>45584</v>
      </c>
      <c r="C63" s="14" t="s">
        <v>21</v>
      </c>
      <c r="D63" s="14" t="s">
        <v>28</v>
      </c>
      <c r="E63" s="14" t="s">
        <v>34</v>
      </c>
      <c r="F63" s="14" t="s">
        <v>53</v>
      </c>
      <c r="G63" s="14">
        <v>6</v>
      </c>
      <c r="H63" s="14">
        <v>406</v>
      </c>
      <c r="I63" s="14">
        <v>2436</v>
      </c>
      <c r="J63" s="14">
        <v>1848.85</v>
      </c>
      <c r="K63" s="14">
        <v>587.15</v>
      </c>
      <c r="L63" s="14" t="s">
        <v>18</v>
      </c>
      <c r="M63" s="14" t="s">
        <v>44</v>
      </c>
    </row>
    <row r="64" spans="1:13" x14ac:dyDescent="0.25">
      <c r="A64" s="14" t="s">
        <v>101</v>
      </c>
      <c r="B64" s="15">
        <v>45438</v>
      </c>
      <c r="C64" s="14" t="s">
        <v>14</v>
      </c>
      <c r="D64" s="14" t="s">
        <v>28</v>
      </c>
      <c r="E64" s="14" t="s">
        <v>23</v>
      </c>
      <c r="F64" s="14" t="s">
        <v>39</v>
      </c>
      <c r="G64" s="14">
        <v>1</v>
      </c>
      <c r="H64" s="14">
        <v>707</v>
      </c>
      <c r="I64" s="14">
        <v>707</v>
      </c>
      <c r="J64" s="14">
        <v>518.64</v>
      </c>
      <c r="K64" s="14">
        <v>188.36</v>
      </c>
      <c r="L64" s="14" t="s">
        <v>25</v>
      </c>
      <c r="M64" s="14" t="s">
        <v>26</v>
      </c>
    </row>
    <row r="65" spans="1:13" x14ac:dyDescent="0.25">
      <c r="A65" s="14" t="s">
        <v>102</v>
      </c>
      <c r="B65" s="15">
        <v>45528</v>
      </c>
      <c r="C65" s="14" t="s">
        <v>38</v>
      </c>
      <c r="D65" s="14" t="s">
        <v>15</v>
      </c>
      <c r="E65" s="14" t="s">
        <v>23</v>
      </c>
      <c r="F65" s="14" t="s">
        <v>39</v>
      </c>
      <c r="G65" s="14">
        <v>10</v>
      </c>
      <c r="H65" s="14">
        <v>977</v>
      </c>
      <c r="I65" s="14">
        <v>9770</v>
      </c>
      <c r="J65" s="14">
        <v>6580.48</v>
      </c>
      <c r="K65" s="14">
        <v>3189.52</v>
      </c>
      <c r="L65" s="14" t="s">
        <v>25</v>
      </c>
      <c r="M65" s="14" t="s">
        <v>30</v>
      </c>
    </row>
    <row r="66" spans="1:13" x14ac:dyDescent="0.25">
      <c r="A66" s="14" t="s">
        <v>103</v>
      </c>
      <c r="B66" s="15">
        <v>45350</v>
      </c>
      <c r="C66" s="14" t="s">
        <v>21</v>
      </c>
      <c r="D66" s="14" t="s">
        <v>22</v>
      </c>
      <c r="E66" s="14" t="s">
        <v>23</v>
      </c>
      <c r="F66" s="14" t="s">
        <v>39</v>
      </c>
      <c r="G66" s="14">
        <v>1</v>
      </c>
      <c r="H66" s="14">
        <v>643</v>
      </c>
      <c r="I66" s="14">
        <v>643</v>
      </c>
      <c r="J66" s="14">
        <v>514.30999999999995</v>
      </c>
      <c r="K66" s="14">
        <v>128.69</v>
      </c>
      <c r="L66" s="14" t="s">
        <v>18</v>
      </c>
      <c r="M66" s="14" t="s">
        <v>44</v>
      </c>
    </row>
    <row r="67" spans="1:13" x14ac:dyDescent="0.25">
      <c r="A67" s="14" t="s">
        <v>104</v>
      </c>
      <c r="B67" s="15">
        <v>45321</v>
      </c>
      <c r="C67" s="14" t="s">
        <v>14</v>
      </c>
      <c r="D67" s="14" t="s">
        <v>22</v>
      </c>
      <c r="E67" s="14" t="s">
        <v>16</v>
      </c>
      <c r="F67" s="14" t="s">
        <v>29</v>
      </c>
      <c r="G67" s="14">
        <v>5</v>
      </c>
      <c r="H67" s="14">
        <v>866</v>
      </c>
      <c r="I67" s="14">
        <v>4330</v>
      </c>
      <c r="J67" s="14">
        <v>2499</v>
      </c>
      <c r="K67" s="14">
        <v>1831</v>
      </c>
      <c r="L67" s="14" t="s">
        <v>18</v>
      </c>
      <c r="M67" s="14" t="s">
        <v>19</v>
      </c>
    </row>
    <row r="68" spans="1:13" x14ac:dyDescent="0.25">
      <c r="A68" s="14" t="s">
        <v>105</v>
      </c>
      <c r="B68" s="15">
        <v>45434</v>
      </c>
      <c r="C68" s="14" t="s">
        <v>38</v>
      </c>
      <c r="D68" s="14" t="s">
        <v>15</v>
      </c>
      <c r="E68" s="14" t="s">
        <v>16</v>
      </c>
      <c r="F68" s="14" t="s">
        <v>29</v>
      </c>
      <c r="G68" s="14">
        <v>4</v>
      </c>
      <c r="H68" s="14">
        <v>627</v>
      </c>
      <c r="I68" s="14">
        <v>2508</v>
      </c>
      <c r="J68" s="14">
        <v>1493.69</v>
      </c>
      <c r="K68" s="14">
        <v>1014.31</v>
      </c>
      <c r="L68" s="14" t="s">
        <v>25</v>
      </c>
      <c r="M68" s="14" t="s">
        <v>44</v>
      </c>
    </row>
    <row r="69" spans="1:13" x14ac:dyDescent="0.25">
      <c r="A69" s="14" t="s">
        <v>106</v>
      </c>
      <c r="B69" s="15">
        <v>45485</v>
      </c>
      <c r="C69" s="14" t="s">
        <v>21</v>
      </c>
      <c r="D69" s="14" t="s">
        <v>22</v>
      </c>
      <c r="E69" s="14" t="s">
        <v>16</v>
      </c>
      <c r="F69" s="14" t="s">
        <v>29</v>
      </c>
      <c r="G69" s="14">
        <v>1</v>
      </c>
      <c r="H69" s="14">
        <v>483</v>
      </c>
      <c r="I69" s="14">
        <v>483</v>
      </c>
      <c r="J69" s="14">
        <v>309.45</v>
      </c>
      <c r="K69" s="14">
        <v>173.55</v>
      </c>
      <c r="L69" s="14" t="s">
        <v>25</v>
      </c>
      <c r="M69" s="14" t="s">
        <v>19</v>
      </c>
    </row>
    <row r="70" spans="1:13" x14ac:dyDescent="0.25">
      <c r="A70" s="14" t="s">
        <v>107</v>
      </c>
      <c r="B70" s="15">
        <v>45587</v>
      </c>
      <c r="C70" s="14" t="s">
        <v>38</v>
      </c>
      <c r="D70" s="14" t="s">
        <v>15</v>
      </c>
      <c r="E70" s="14" t="s">
        <v>34</v>
      </c>
      <c r="F70" s="14" t="s">
        <v>47</v>
      </c>
      <c r="G70" s="14">
        <v>9</v>
      </c>
      <c r="H70" s="14">
        <v>934</v>
      </c>
      <c r="I70" s="14">
        <v>8406</v>
      </c>
      <c r="J70" s="14">
        <v>4557.83</v>
      </c>
      <c r="K70" s="14">
        <v>3848.17</v>
      </c>
      <c r="L70" s="14" t="s">
        <v>18</v>
      </c>
      <c r="M70" s="14" t="s">
        <v>30</v>
      </c>
    </row>
    <row r="71" spans="1:13" x14ac:dyDescent="0.25">
      <c r="A71" s="14" t="s">
        <v>108</v>
      </c>
      <c r="B71" s="15">
        <v>45315</v>
      </c>
      <c r="C71" s="14" t="s">
        <v>21</v>
      </c>
      <c r="D71" s="14" t="s">
        <v>22</v>
      </c>
      <c r="E71" s="14" t="s">
        <v>23</v>
      </c>
      <c r="F71" s="14" t="s">
        <v>43</v>
      </c>
      <c r="G71" s="14">
        <v>6</v>
      </c>
      <c r="H71" s="14">
        <v>204</v>
      </c>
      <c r="I71" s="14">
        <v>1224</v>
      </c>
      <c r="J71" s="14">
        <v>864.33</v>
      </c>
      <c r="K71" s="14">
        <v>359.67</v>
      </c>
      <c r="L71" s="14" t="s">
        <v>18</v>
      </c>
      <c r="M71" s="14" t="s">
        <v>44</v>
      </c>
    </row>
    <row r="72" spans="1:13" x14ac:dyDescent="0.25">
      <c r="A72" s="14" t="s">
        <v>109</v>
      </c>
      <c r="B72" s="15">
        <v>45378</v>
      </c>
      <c r="C72" s="14" t="s">
        <v>38</v>
      </c>
      <c r="D72" s="14" t="s">
        <v>42</v>
      </c>
      <c r="E72" s="14" t="s">
        <v>23</v>
      </c>
      <c r="F72" s="14" t="s">
        <v>39</v>
      </c>
      <c r="G72" s="14">
        <v>9</v>
      </c>
      <c r="H72" s="14">
        <v>480</v>
      </c>
      <c r="I72" s="14">
        <v>4320</v>
      </c>
      <c r="J72" s="14">
        <v>2821.31</v>
      </c>
      <c r="K72" s="14">
        <v>1498.69</v>
      </c>
      <c r="L72" s="14" t="s">
        <v>18</v>
      </c>
      <c r="M72" s="14" t="s">
        <v>26</v>
      </c>
    </row>
    <row r="73" spans="1:13" x14ac:dyDescent="0.25">
      <c r="A73" s="14" t="s">
        <v>110</v>
      </c>
      <c r="B73" s="15">
        <v>45351</v>
      </c>
      <c r="C73" s="14" t="s">
        <v>41</v>
      </c>
      <c r="D73" s="14" t="s">
        <v>22</v>
      </c>
      <c r="E73" s="14" t="s">
        <v>23</v>
      </c>
      <c r="F73" s="14" t="s">
        <v>43</v>
      </c>
      <c r="G73" s="14">
        <v>9</v>
      </c>
      <c r="H73" s="14">
        <v>191</v>
      </c>
      <c r="I73" s="14">
        <v>1719</v>
      </c>
      <c r="J73" s="14">
        <v>1274.33</v>
      </c>
      <c r="K73" s="14">
        <v>444.67</v>
      </c>
      <c r="L73" s="14" t="s">
        <v>18</v>
      </c>
      <c r="M73" s="14" t="s">
        <v>30</v>
      </c>
    </row>
    <row r="74" spans="1:13" x14ac:dyDescent="0.25">
      <c r="A74" s="14" t="s">
        <v>111</v>
      </c>
      <c r="B74" s="15">
        <v>45494</v>
      </c>
      <c r="C74" s="14" t="s">
        <v>21</v>
      </c>
      <c r="D74" s="14" t="s">
        <v>15</v>
      </c>
      <c r="E74" s="14" t="s">
        <v>34</v>
      </c>
      <c r="F74" s="14" t="s">
        <v>47</v>
      </c>
      <c r="G74" s="14">
        <v>4</v>
      </c>
      <c r="H74" s="14">
        <v>757</v>
      </c>
      <c r="I74" s="14">
        <v>3028</v>
      </c>
      <c r="J74" s="14">
        <v>2393.88</v>
      </c>
      <c r="K74" s="14">
        <v>634.12</v>
      </c>
      <c r="L74" s="14" t="s">
        <v>25</v>
      </c>
      <c r="M74" s="14" t="s">
        <v>19</v>
      </c>
    </row>
    <row r="75" spans="1:13" x14ac:dyDescent="0.25">
      <c r="A75" s="14" t="s">
        <v>112</v>
      </c>
      <c r="B75" s="15">
        <v>45434</v>
      </c>
      <c r="C75" s="14" t="s">
        <v>41</v>
      </c>
      <c r="D75" s="14" t="s">
        <v>15</v>
      </c>
      <c r="E75" s="14" t="s">
        <v>16</v>
      </c>
      <c r="F75" s="14" t="s">
        <v>29</v>
      </c>
      <c r="G75" s="14">
        <v>1</v>
      </c>
      <c r="H75" s="14">
        <v>941</v>
      </c>
      <c r="I75" s="14">
        <v>941</v>
      </c>
      <c r="J75" s="14">
        <v>713.82</v>
      </c>
      <c r="K75" s="14">
        <v>227.18</v>
      </c>
      <c r="L75" s="14" t="s">
        <v>18</v>
      </c>
      <c r="M75" s="14" t="s">
        <v>26</v>
      </c>
    </row>
    <row r="76" spans="1:13" x14ac:dyDescent="0.25">
      <c r="A76" s="14" t="s">
        <v>113</v>
      </c>
      <c r="B76" s="15">
        <v>45546</v>
      </c>
      <c r="C76" s="14" t="s">
        <v>38</v>
      </c>
      <c r="D76" s="14" t="s">
        <v>15</v>
      </c>
      <c r="E76" s="14" t="s">
        <v>16</v>
      </c>
      <c r="F76" s="14" t="s">
        <v>29</v>
      </c>
      <c r="G76" s="14">
        <v>8</v>
      </c>
      <c r="H76" s="14">
        <v>57</v>
      </c>
      <c r="I76" s="14">
        <v>456</v>
      </c>
      <c r="J76" s="14">
        <v>339.08</v>
      </c>
      <c r="K76" s="14">
        <v>116.92</v>
      </c>
      <c r="L76" s="14" t="s">
        <v>18</v>
      </c>
      <c r="M76" s="14" t="s">
        <v>30</v>
      </c>
    </row>
    <row r="77" spans="1:13" x14ac:dyDescent="0.25">
      <c r="A77" s="14" t="s">
        <v>114</v>
      </c>
      <c r="B77" s="15">
        <v>45578</v>
      </c>
      <c r="C77" s="14" t="s">
        <v>14</v>
      </c>
      <c r="D77" s="14" t="s">
        <v>28</v>
      </c>
      <c r="E77" s="14" t="s">
        <v>34</v>
      </c>
      <c r="F77" s="14" t="s">
        <v>35</v>
      </c>
      <c r="G77" s="14">
        <v>9</v>
      </c>
      <c r="H77" s="14">
        <v>161</v>
      </c>
      <c r="I77" s="14">
        <v>1449</v>
      </c>
      <c r="J77" s="14">
        <v>797.34</v>
      </c>
      <c r="K77" s="14">
        <v>651.66</v>
      </c>
      <c r="L77" s="14" t="s">
        <v>25</v>
      </c>
      <c r="M77" s="14" t="s">
        <v>44</v>
      </c>
    </row>
    <row r="78" spans="1:13" x14ac:dyDescent="0.25">
      <c r="A78" s="14" t="s">
        <v>115</v>
      </c>
      <c r="B78" s="15">
        <v>45570</v>
      </c>
      <c r="C78" s="14" t="s">
        <v>14</v>
      </c>
      <c r="D78" s="14" t="s">
        <v>28</v>
      </c>
      <c r="E78" s="14" t="s">
        <v>16</v>
      </c>
      <c r="F78" s="14" t="s">
        <v>29</v>
      </c>
      <c r="G78" s="14">
        <v>8</v>
      </c>
      <c r="H78" s="14">
        <v>878</v>
      </c>
      <c r="I78" s="14">
        <v>7024</v>
      </c>
      <c r="J78" s="14">
        <v>3518.34</v>
      </c>
      <c r="K78" s="14">
        <v>3505.66</v>
      </c>
      <c r="L78" s="14" t="s">
        <v>25</v>
      </c>
      <c r="M78" s="14" t="s">
        <v>44</v>
      </c>
    </row>
    <row r="79" spans="1:13" x14ac:dyDescent="0.25">
      <c r="A79" s="14" t="s">
        <v>116</v>
      </c>
      <c r="B79" s="15">
        <v>45513</v>
      </c>
      <c r="C79" s="14" t="s">
        <v>21</v>
      </c>
      <c r="D79" s="14" t="s">
        <v>28</v>
      </c>
      <c r="E79" s="14" t="s">
        <v>16</v>
      </c>
      <c r="F79" s="14" t="s">
        <v>29</v>
      </c>
      <c r="G79" s="14">
        <v>1</v>
      </c>
      <c r="H79" s="14">
        <v>539</v>
      </c>
      <c r="I79" s="14">
        <v>539</v>
      </c>
      <c r="J79" s="14">
        <v>278.37</v>
      </c>
      <c r="K79" s="14">
        <v>260.63</v>
      </c>
      <c r="L79" s="14" t="s">
        <v>18</v>
      </c>
      <c r="M79" s="14" t="s">
        <v>26</v>
      </c>
    </row>
    <row r="80" spans="1:13" x14ac:dyDescent="0.25">
      <c r="A80" s="14" t="s">
        <v>117</v>
      </c>
      <c r="B80" s="15">
        <v>45447</v>
      </c>
      <c r="C80" s="14" t="s">
        <v>21</v>
      </c>
      <c r="D80" s="14" t="s">
        <v>28</v>
      </c>
      <c r="E80" s="14" t="s">
        <v>34</v>
      </c>
      <c r="F80" s="14" t="s">
        <v>35</v>
      </c>
      <c r="G80" s="14">
        <v>5</v>
      </c>
      <c r="H80" s="14">
        <v>236</v>
      </c>
      <c r="I80" s="14">
        <v>1180</v>
      </c>
      <c r="J80" s="14">
        <v>916.67</v>
      </c>
      <c r="K80" s="14">
        <v>263.33</v>
      </c>
      <c r="L80" s="14" t="s">
        <v>18</v>
      </c>
      <c r="M80" s="14" t="s">
        <v>44</v>
      </c>
    </row>
    <row r="81" spans="1:13" x14ac:dyDescent="0.25">
      <c r="A81" s="14" t="s">
        <v>118</v>
      </c>
      <c r="B81" s="15">
        <v>45520</v>
      </c>
      <c r="C81" s="14" t="s">
        <v>21</v>
      </c>
      <c r="D81" s="14" t="s">
        <v>22</v>
      </c>
      <c r="E81" s="14" t="s">
        <v>34</v>
      </c>
      <c r="F81" s="14" t="s">
        <v>47</v>
      </c>
      <c r="G81" s="14">
        <v>3</v>
      </c>
      <c r="H81" s="14">
        <v>85</v>
      </c>
      <c r="I81" s="14">
        <v>255</v>
      </c>
      <c r="J81" s="14">
        <v>187.73</v>
      </c>
      <c r="K81" s="14">
        <v>67.27</v>
      </c>
      <c r="L81" s="14" t="s">
        <v>18</v>
      </c>
      <c r="M81" s="14" t="s">
        <v>19</v>
      </c>
    </row>
    <row r="82" spans="1:13" x14ac:dyDescent="0.25">
      <c r="A82" s="14" t="s">
        <v>119</v>
      </c>
      <c r="B82" s="15">
        <v>45490</v>
      </c>
      <c r="C82" s="14" t="s">
        <v>21</v>
      </c>
      <c r="D82" s="14" t="s">
        <v>15</v>
      </c>
      <c r="E82" s="14" t="s">
        <v>23</v>
      </c>
      <c r="F82" s="14" t="s">
        <v>24</v>
      </c>
      <c r="G82" s="14">
        <v>1</v>
      </c>
      <c r="H82" s="14">
        <v>427</v>
      </c>
      <c r="I82" s="14">
        <v>427</v>
      </c>
      <c r="J82" s="14">
        <v>259.82</v>
      </c>
      <c r="K82" s="14">
        <v>167.18</v>
      </c>
      <c r="L82" s="14" t="s">
        <v>18</v>
      </c>
      <c r="M82" s="14" t="s">
        <v>19</v>
      </c>
    </row>
    <row r="83" spans="1:13" x14ac:dyDescent="0.25">
      <c r="A83" s="14" t="s">
        <v>120</v>
      </c>
      <c r="B83" s="15">
        <v>45372</v>
      </c>
      <c r="C83" s="14" t="s">
        <v>21</v>
      </c>
      <c r="D83" s="14" t="s">
        <v>42</v>
      </c>
      <c r="E83" s="14" t="s">
        <v>23</v>
      </c>
      <c r="F83" s="14" t="s">
        <v>43</v>
      </c>
      <c r="G83" s="14">
        <v>9</v>
      </c>
      <c r="H83" s="14">
        <v>289</v>
      </c>
      <c r="I83" s="14">
        <v>2601</v>
      </c>
      <c r="J83" s="14">
        <v>1648.3</v>
      </c>
      <c r="K83" s="14">
        <v>952.7</v>
      </c>
      <c r="L83" s="14" t="s">
        <v>18</v>
      </c>
      <c r="M83" s="14" t="s">
        <v>19</v>
      </c>
    </row>
    <row r="84" spans="1:13" x14ac:dyDescent="0.25">
      <c r="A84" s="14" t="s">
        <v>121</v>
      </c>
      <c r="B84" s="15">
        <v>45582</v>
      </c>
      <c r="C84" s="14" t="s">
        <v>41</v>
      </c>
      <c r="D84" s="14" t="s">
        <v>15</v>
      </c>
      <c r="E84" s="14" t="s">
        <v>23</v>
      </c>
      <c r="F84" s="14" t="s">
        <v>39</v>
      </c>
      <c r="G84" s="14">
        <v>8</v>
      </c>
      <c r="H84" s="14">
        <v>314</v>
      </c>
      <c r="I84" s="14">
        <v>2512</v>
      </c>
      <c r="J84" s="14">
        <v>1281.32</v>
      </c>
      <c r="K84" s="14">
        <v>1230.68</v>
      </c>
      <c r="L84" s="14" t="s">
        <v>18</v>
      </c>
      <c r="M84" s="14" t="s">
        <v>30</v>
      </c>
    </row>
    <row r="85" spans="1:13" x14ac:dyDescent="0.25">
      <c r="A85" s="14" t="s">
        <v>122</v>
      </c>
      <c r="B85" s="15">
        <v>45400</v>
      </c>
      <c r="C85" s="14" t="s">
        <v>41</v>
      </c>
      <c r="D85" s="14" t="s">
        <v>42</v>
      </c>
      <c r="E85" s="14" t="s">
        <v>16</v>
      </c>
      <c r="F85" s="14" t="s">
        <v>29</v>
      </c>
      <c r="G85" s="14">
        <v>4</v>
      </c>
      <c r="H85" s="14">
        <v>357</v>
      </c>
      <c r="I85" s="14">
        <v>1428</v>
      </c>
      <c r="J85" s="14">
        <v>1041.97</v>
      </c>
      <c r="K85" s="14">
        <v>386.03</v>
      </c>
      <c r="L85" s="14" t="s">
        <v>25</v>
      </c>
      <c r="M85" s="14" t="s">
        <v>30</v>
      </c>
    </row>
    <row r="86" spans="1:13" x14ac:dyDescent="0.25">
      <c r="A86" s="14" t="s">
        <v>123</v>
      </c>
      <c r="B86" s="15">
        <v>45310</v>
      </c>
      <c r="C86" s="14" t="s">
        <v>14</v>
      </c>
      <c r="D86" s="14" t="s">
        <v>28</v>
      </c>
      <c r="E86" s="14" t="s">
        <v>34</v>
      </c>
      <c r="F86" s="14" t="s">
        <v>35</v>
      </c>
      <c r="G86" s="14">
        <v>4</v>
      </c>
      <c r="H86" s="14">
        <v>563</v>
      </c>
      <c r="I86" s="14">
        <v>2252</v>
      </c>
      <c r="J86" s="14">
        <v>1566.93</v>
      </c>
      <c r="K86" s="14">
        <v>685.07</v>
      </c>
      <c r="L86" s="14" t="s">
        <v>25</v>
      </c>
      <c r="M86" s="14" t="s">
        <v>30</v>
      </c>
    </row>
    <row r="87" spans="1:13" x14ac:dyDescent="0.25">
      <c r="A87" s="14" t="s">
        <v>124</v>
      </c>
      <c r="B87" s="15">
        <v>45469</v>
      </c>
      <c r="C87" s="14" t="s">
        <v>21</v>
      </c>
      <c r="D87" s="14" t="s">
        <v>28</v>
      </c>
      <c r="E87" s="14" t="s">
        <v>16</v>
      </c>
      <c r="F87" s="14" t="s">
        <v>17</v>
      </c>
      <c r="G87" s="14">
        <v>5</v>
      </c>
      <c r="H87" s="14">
        <v>747</v>
      </c>
      <c r="I87" s="14">
        <v>3735</v>
      </c>
      <c r="J87" s="14">
        <v>1924.71</v>
      </c>
      <c r="K87" s="14">
        <v>1810.29</v>
      </c>
      <c r="L87" s="14" t="s">
        <v>18</v>
      </c>
      <c r="M87" s="14" t="s">
        <v>26</v>
      </c>
    </row>
    <row r="88" spans="1:13" x14ac:dyDescent="0.25">
      <c r="A88" s="14" t="s">
        <v>125</v>
      </c>
      <c r="B88" s="15">
        <v>45484</v>
      </c>
      <c r="C88" s="14" t="s">
        <v>38</v>
      </c>
      <c r="D88" s="14" t="s">
        <v>15</v>
      </c>
      <c r="E88" s="14" t="s">
        <v>23</v>
      </c>
      <c r="F88" s="14" t="s">
        <v>24</v>
      </c>
      <c r="G88" s="14">
        <v>4</v>
      </c>
      <c r="H88" s="14">
        <v>375</v>
      </c>
      <c r="I88" s="14">
        <v>1500</v>
      </c>
      <c r="J88" s="14">
        <v>1068.6300000000001</v>
      </c>
      <c r="K88" s="14">
        <v>431.37</v>
      </c>
      <c r="L88" s="14" t="s">
        <v>18</v>
      </c>
      <c r="M88" s="14" t="s">
        <v>30</v>
      </c>
    </row>
    <row r="89" spans="1:13" x14ac:dyDescent="0.25">
      <c r="A89" s="14" t="s">
        <v>126</v>
      </c>
      <c r="B89" s="15">
        <v>45452</v>
      </c>
      <c r="C89" s="14" t="s">
        <v>21</v>
      </c>
      <c r="D89" s="14" t="s">
        <v>42</v>
      </c>
      <c r="E89" s="14" t="s">
        <v>16</v>
      </c>
      <c r="F89" s="14" t="s">
        <v>64</v>
      </c>
      <c r="G89" s="14">
        <v>1</v>
      </c>
      <c r="H89" s="14">
        <v>613</v>
      </c>
      <c r="I89" s="14">
        <v>613</v>
      </c>
      <c r="J89" s="14">
        <v>443.31</v>
      </c>
      <c r="K89" s="14">
        <v>169.69</v>
      </c>
      <c r="L89" s="14" t="s">
        <v>25</v>
      </c>
      <c r="M89" s="14" t="s">
        <v>44</v>
      </c>
    </row>
    <row r="90" spans="1:13" x14ac:dyDescent="0.25">
      <c r="A90" s="14" t="s">
        <v>127</v>
      </c>
      <c r="B90" s="15">
        <v>45403</v>
      </c>
      <c r="C90" s="14" t="s">
        <v>41</v>
      </c>
      <c r="D90" s="14" t="s">
        <v>28</v>
      </c>
      <c r="E90" s="14" t="s">
        <v>23</v>
      </c>
      <c r="F90" s="14" t="s">
        <v>24</v>
      </c>
      <c r="G90" s="14">
        <v>3</v>
      </c>
      <c r="H90" s="14">
        <v>537</v>
      </c>
      <c r="I90" s="14">
        <v>1611</v>
      </c>
      <c r="J90" s="14">
        <v>1098.8399999999999</v>
      </c>
      <c r="K90" s="14">
        <v>512.16</v>
      </c>
      <c r="L90" s="14" t="s">
        <v>18</v>
      </c>
      <c r="M90" s="14" t="s">
        <v>30</v>
      </c>
    </row>
    <row r="91" spans="1:13" x14ac:dyDescent="0.25">
      <c r="A91" s="14" t="s">
        <v>128</v>
      </c>
      <c r="B91" s="15">
        <v>45432</v>
      </c>
      <c r="C91" s="14" t="s">
        <v>21</v>
      </c>
      <c r="D91" s="14" t="s">
        <v>15</v>
      </c>
      <c r="E91" s="14" t="s">
        <v>34</v>
      </c>
      <c r="F91" s="14" t="s">
        <v>53</v>
      </c>
      <c r="G91" s="14">
        <v>2</v>
      </c>
      <c r="H91" s="14">
        <v>783</v>
      </c>
      <c r="I91" s="14">
        <v>1566</v>
      </c>
      <c r="J91" s="14">
        <v>989.09</v>
      </c>
      <c r="K91" s="14">
        <v>576.91</v>
      </c>
      <c r="L91" s="14" t="s">
        <v>25</v>
      </c>
      <c r="M91" s="14" t="s">
        <v>19</v>
      </c>
    </row>
    <row r="92" spans="1:13" x14ac:dyDescent="0.25">
      <c r="A92" s="14" t="s">
        <v>129</v>
      </c>
      <c r="B92" s="15">
        <v>45473</v>
      </c>
      <c r="C92" s="14" t="s">
        <v>14</v>
      </c>
      <c r="D92" s="14" t="s">
        <v>22</v>
      </c>
      <c r="E92" s="14" t="s">
        <v>23</v>
      </c>
      <c r="F92" s="14" t="s">
        <v>43</v>
      </c>
      <c r="G92" s="14">
        <v>8</v>
      </c>
      <c r="H92" s="14">
        <v>302</v>
      </c>
      <c r="I92" s="14">
        <v>2416</v>
      </c>
      <c r="J92" s="14">
        <v>1378.98</v>
      </c>
      <c r="K92" s="14">
        <v>1037.02</v>
      </c>
      <c r="L92" s="14" t="s">
        <v>18</v>
      </c>
      <c r="M92" s="14" t="s">
        <v>44</v>
      </c>
    </row>
    <row r="93" spans="1:13" x14ac:dyDescent="0.25">
      <c r="A93" s="14" t="s">
        <v>130</v>
      </c>
      <c r="B93" s="15">
        <v>45511</v>
      </c>
      <c r="C93" s="14" t="s">
        <v>21</v>
      </c>
      <c r="D93" s="14" t="s">
        <v>28</v>
      </c>
      <c r="E93" s="14" t="s">
        <v>23</v>
      </c>
      <c r="F93" s="14" t="s">
        <v>43</v>
      </c>
      <c r="G93" s="14">
        <v>3</v>
      </c>
      <c r="H93" s="14">
        <v>594</v>
      </c>
      <c r="I93" s="14">
        <v>1782</v>
      </c>
      <c r="J93" s="14">
        <v>1202.06</v>
      </c>
      <c r="K93" s="14">
        <v>579.94000000000005</v>
      </c>
      <c r="L93" s="14" t="s">
        <v>18</v>
      </c>
      <c r="M93" s="14" t="s">
        <v>26</v>
      </c>
    </row>
    <row r="94" spans="1:13" x14ac:dyDescent="0.25">
      <c r="A94" s="14" t="s">
        <v>131</v>
      </c>
      <c r="B94" s="15">
        <v>45549</v>
      </c>
      <c r="C94" s="14" t="s">
        <v>41</v>
      </c>
      <c r="D94" s="14" t="s">
        <v>42</v>
      </c>
      <c r="E94" s="14" t="s">
        <v>16</v>
      </c>
      <c r="F94" s="14" t="s">
        <v>29</v>
      </c>
      <c r="G94" s="14">
        <v>5</v>
      </c>
      <c r="H94" s="14">
        <v>165</v>
      </c>
      <c r="I94" s="14">
        <v>825</v>
      </c>
      <c r="J94" s="14">
        <v>558.65</v>
      </c>
      <c r="K94" s="14">
        <v>266.35000000000002</v>
      </c>
      <c r="L94" s="14" t="s">
        <v>25</v>
      </c>
      <c r="M94" s="14" t="s">
        <v>44</v>
      </c>
    </row>
    <row r="95" spans="1:13" x14ac:dyDescent="0.25">
      <c r="A95" s="14" t="s">
        <v>132</v>
      </c>
      <c r="B95" s="15">
        <v>45453</v>
      </c>
      <c r="C95" s="14" t="s">
        <v>21</v>
      </c>
      <c r="D95" s="14" t="s">
        <v>15</v>
      </c>
      <c r="E95" s="14" t="s">
        <v>34</v>
      </c>
      <c r="F95" s="14" t="s">
        <v>47</v>
      </c>
      <c r="G95" s="14">
        <v>2</v>
      </c>
      <c r="H95" s="14">
        <v>616</v>
      </c>
      <c r="I95" s="14">
        <v>1232</v>
      </c>
      <c r="J95" s="14">
        <v>670.82</v>
      </c>
      <c r="K95" s="14">
        <v>561.17999999999995</v>
      </c>
      <c r="L95" s="14" t="s">
        <v>18</v>
      </c>
      <c r="M95" s="14" t="s">
        <v>26</v>
      </c>
    </row>
    <row r="96" spans="1:13" x14ac:dyDescent="0.25">
      <c r="A96" s="14" t="s">
        <v>133</v>
      </c>
      <c r="B96" s="15">
        <v>45335</v>
      </c>
      <c r="C96" s="14" t="s">
        <v>21</v>
      </c>
      <c r="D96" s="14" t="s">
        <v>28</v>
      </c>
      <c r="E96" s="14" t="s">
        <v>34</v>
      </c>
      <c r="F96" s="14" t="s">
        <v>35</v>
      </c>
      <c r="G96" s="14">
        <v>3</v>
      </c>
      <c r="H96" s="14">
        <v>590</v>
      </c>
      <c r="I96" s="14">
        <v>1770</v>
      </c>
      <c r="J96" s="14">
        <v>1324.95</v>
      </c>
      <c r="K96" s="14">
        <v>445.05</v>
      </c>
      <c r="L96" s="14" t="s">
        <v>18</v>
      </c>
      <c r="M96" s="14" t="s">
        <v>19</v>
      </c>
    </row>
    <row r="97" spans="1:13" x14ac:dyDescent="0.25">
      <c r="A97" s="14" t="s">
        <v>134</v>
      </c>
      <c r="B97" s="15">
        <v>45586</v>
      </c>
      <c r="C97" s="14" t="s">
        <v>14</v>
      </c>
      <c r="D97" s="14" t="s">
        <v>22</v>
      </c>
      <c r="E97" s="14" t="s">
        <v>34</v>
      </c>
      <c r="F97" s="14" t="s">
        <v>53</v>
      </c>
      <c r="G97" s="14">
        <v>4</v>
      </c>
      <c r="H97" s="14">
        <v>194</v>
      </c>
      <c r="I97" s="14">
        <v>776</v>
      </c>
      <c r="J97" s="14">
        <v>422.95</v>
      </c>
      <c r="K97" s="14">
        <v>353.05</v>
      </c>
      <c r="L97" s="14" t="s">
        <v>18</v>
      </c>
      <c r="M97" s="14" t="s">
        <v>44</v>
      </c>
    </row>
    <row r="98" spans="1:13" x14ac:dyDescent="0.25">
      <c r="A98" s="14" t="s">
        <v>135</v>
      </c>
      <c r="B98" s="15">
        <v>45546</v>
      </c>
      <c r="C98" s="14" t="s">
        <v>38</v>
      </c>
      <c r="D98" s="14" t="s">
        <v>28</v>
      </c>
      <c r="E98" s="14" t="s">
        <v>23</v>
      </c>
      <c r="F98" s="14" t="s">
        <v>24</v>
      </c>
      <c r="G98" s="14">
        <v>7</v>
      </c>
      <c r="H98" s="14">
        <v>162</v>
      </c>
      <c r="I98" s="14">
        <v>1134</v>
      </c>
      <c r="J98" s="14">
        <v>730.61</v>
      </c>
      <c r="K98" s="14">
        <v>403.39</v>
      </c>
      <c r="L98" s="14" t="s">
        <v>18</v>
      </c>
      <c r="M98" s="14" t="s">
        <v>44</v>
      </c>
    </row>
    <row r="99" spans="1:13" x14ac:dyDescent="0.25">
      <c r="A99" s="14" t="s">
        <v>136</v>
      </c>
      <c r="B99" s="15">
        <v>45358</v>
      </c>
      <c r="C99" s="14" t="s">
        <v>38</v>
      </c>
      <c r="D99" s="14" t="s">
        <v>15</v>
      </c>
      <c r="E99" s="14" t="s">
        <v>16</v>
      </c>
      <c r="F99" s="14" t="s">
        <v>17</v>
      </c>
      <c r="G99" s="14">
        <v>8</v>
      </c>
      <c r="H99" s="14">
        <v>509</v>
      </c>
      <c r="I99" s="14">
        <v>4072</v>
      </c>
      <c r="J99" s="14">
        <v>3193.56</v>
      </c>
      <c r="K99" s="14">
        <v>878.44</v>
      </c>
      <c r="L99" s="14" t="s">
        <v>25</v>
      </c>
      <c r="M99" s="14" t="s">
        <v>30</v>
      </c>
    </row>
    <row r="100" spans="1:13" x14ac:dyDescent="0.25">
      <c r="A100" s="14" t="s">
        <v>137</v>
      </c>
      <c r="B100" s="15">
        <v>45554</v>
      </c>
      <c r="C100" s="14" t="s">
        <v>41</v>
      </c>
      <c r="D100" s="14" t="s">
        <v>28</v>
      </c>
      <c r="E100" s="14" t="s">
        <v>16</v>
      </c>
      <c r="F100" s="14" t="s">
        <v>17</v>
      </c>
      <c r="G100" s="14">
        <v>6</v>
      </c>
      <c r="H100" s="14">
        <v>332</v>
      </c>
      <c r="I100" s="14">
        <v>1992</v>
      </c>
      <c r="J100" s="14">
        <v>1440.89</v>
      </c>
      <c r="K100" s="14">
        <v>551.11</v>
      </c>
      <c r="L100" s="14" t="s">
        <v>25</v>
      </c>
      <c r="M100" s="14" t="s">
        <v>26</v>
      </c>
    </row>
    <row r="101" spans="1:13" x14ac:dyDescent="0.25">
      <c r="A101" s="14" t="s">
        <v>138</v>
      </c>
      <c r="B101" s="15">
        <v>45431</v>
      </c>
      <c r="C101" s="14" t="s">
        <v>14</v>
      </c>
      <c r="D101" s="14" t="s">
        <v>28</v>
      </c>
      <c r="E101" s="14" t="s">
        <v>23</v>
      </c>
      <c r="F101" s="14" t="s">
        <v>24</v>
      </c>
      <c r="G101" s="14">
        <v>6</v>
      </c>
      <c r="H101" s="14">
        <v>708</v>
      </c>
      <c r="I101" s="14">
        <v>4248</v>
      </c>
      <c r="J101" s="14">
        <v>3352.67</v>
      </c>
      <c r="K101" s="14">
        <v>895.33</v>
      </c>
      <c r="L101" s="14" t="s">
        <v>18</v>
      </c>
      <c r="M101" s="14" t="s">
        <v>30</v>
      </c>
    </row>
    <row r="102" spans="1:13" x14ac:dyDescent="0.25">
      <c r="A102" s="14" t="s">
        <v>139</v>
      </c>
      <c r="B102" s="15">
        <v>45452</v>
      </c>
      <c r="C102" s="14" t="s">
        <v>14</v>
      </c>
      <c r="D102" s="14" t="s">
        <v>42</v>
      </c>
      <c r="E102" s="14" t="s">
        <v>23</v>
      </c>
      <c r="F102" s="14" t="s">
        <v>24</v>
      </c>
      <c r="G102" s="14">
        <v>9</v>
      </c>
      <c r="H102" s="14">
        <v>574</v>
      </c>
      <c r="I102" s="14">
        <v>5166</v>
      </c>
      <c r="J102" s="14">
        <v>3187.28</v>
      </c>
      <c r="K102" s="14">
        <v>1978.72</v>
      </c>
      <c r="L102" s="14" t="s">
        <v>18</v>
      </c>
      <c r="M102" s="14" t="s">
        <v>26</v>
      </c>
    </row>
    <row r="103" spans="1:13" x14ac:dyDescent="0.25">
      <c r="A103" s="14" t="s">
        <v>140</v>
      </c>
      <c r="B103" s="15">
        <v>45576</v>
      </c>
      <c r="C103" s="14" t="s">
        <v>38</v>
      </c>
      <c r="D103" s="14" t="s">
        <v>22</v>
      </c>
      <c r="E103" s="14" t="s">
        <v>16</v>
      </c>
      <c r="F103" s="14" t="s">
        <v>29</v>
      </c>
      <c r="G103" s="14">
        <v>6</v>
      </c>
      <c r="H103" s="14">
        <v>352</v>
      </c>
      <c r="I103" s="14">
        <v>2112</v>
      </c>
      <c r="J103" s="14">
        <v>1546.05</v>
      </c>
      <c r="K103" s="14">
        <v>565.95000000000005</v>
      </c>
      <c r="L103" s="14" t="s">
        <v>25</v>
      </c>
      <c r="M103" s="14" t="s">
        <v>44</v>
      </c>
    </row>
    <row r="104" spans="1:13" x14ac:dyDescent="0.25">
      <c r="A104" s="14" t="s">
        <v>141</v>
      </c>
      <c r="B104" s="15">
        <v>45407</v>
      </c>
      <c r="C104" s="14" t="s">
        <v>14</v>
      </c>
      <c r="D104" s="14" t="s">
        <v>22</v>
      </c>
      <c r="E104" s="14" t="s">
        <v>16</v>
      </c>
      <c r="F104" s="14" t="s">
        <v>17</v>
      </c>
      <c r="G104" s="14">
        <v>8</v>
      </c>
      <c r="H104" s="14">
        <v>682</v>
      </c>
      <c r="I104" s="14">
        <v>5456</v>
      </c>
      <c r="J104" s="14">
        <v>2857.89</v>
      </c>
      <c r="K104" s="14">
        <v>2598.11</v>
      </c>
      <c r="L104" s="14" t="s">
        <v>25</v>
      </c>
      <c r="M104" s="14" t="s">
        <v>19</v>
      </c>
    </row>
    <row r="105" spans="1:13" x14ac:dyDescent="0.25">
      <c r="A105" s="14" t="s">
        <v>142</v>
      </c>
      <c r="B105" s="15">
        <v>45480</v>
      </c>
      <c r="C105" s="14" t="s">
        <v>14</v>
      </c>
      <c r="D105" s="14" t="s">
        <v>28</v>
      </c>
      <c r="E105" s="14" t="s">
        <v>34</v>
      </c>
      <c r="F105" s="14" t="s">
        <v>53</v>
      </c>
      <c r="G105" s="14">
        <v>5</v>
      </c>
      <c r="H105" s="14">
        <v>483</v>
      </c>
      <c r="I105" s="14">
        <v>2415</v>
      </c>
      <c r="J105" s="14">
        <v>1412</v>
      </c>
      <c r="K105" s="14">
        <v>1003</v>
      </c>
      <c r="L105" s="14" t="s">
        <v>18</v>
      </c>
      <c r="M105" s="14" t="s">
        <v>30</v>
      </c>
    </row>
    <row r="106" spans="1:13" x14ac:dyDescent="0.25">
      <c r="A106" s="14" t="s">
        <v>143</v>
      </c>
      <c r="B106" s="15">
        <v>45328</v>
      </c>
      <c r="C106" s="14" t="s">
        <v>41</v>
      </c>
      <c r="D106" s="14" t="s">
        <v>15</v>
      </c>
      <c r="E106" s="14" t="s">
        <v>16</v>
      </c>
      <c r="F106" s="14" t="s">
        <v>29</v>
      </c>
      <c r="G106" s="14">
        <v>3</v>
      </c>
      <c r="H106" s="14">
        <v>751</v>
      </c>
      <c r="I106" s="14">
        <v>2253</v>
      </c>
      <c r="J106" s="14">
        <v>1246.31</v>
      </c>
      <c r="K106" s="14">
        <v>1006.69</v>
      </c>
      <c r="L106" s="14" t="s">
        <v>18</v>
      </c>
      <c r="M106" s="14" t="s">
        <v>26</v>
      </c>
    </row>
    <row r="107" spans="1:13" x14ac:dyDescent="0.25">
      <c r="A107" s="14" t="s">
        <v>144</v>
      </c>
      <c r="B107" s="15">
        <v>45447</v>
      </c>
      <c r="C107" s="14" t="s">
        <v>38</v>
      </c>
      <c r="D107" s="14" t="s">
        <v>28</v>
      </c>
      <c r="E107" s="14" t="s">
        <v>16</v>
      </c>
      <c r="F107" s="14" t="s">
        <v>64</v>
      </c>
      <c r="G107" s="14">
        <v>10</v>
      </c>
      <c r="H107" s="14">
        <v>164</v>
      </c>
      <c r="I107" s="14">
        <v>1640</v>
      </c>
      <c r="J107" s="14">
        <v>982.17</v>
      </c>
      <c r="K107" s="14">
        <v>657.83</v>
      </c>
      <c r="L107" s="14" t="s">
        <v>25</v>
      </c>
      <c r="M107" s="14" t="s">
        <v>19</v>
      </c>
    </row>
    <row r="108" spans="1:13" x14ac:dyDescent="0.25">
      <c r="A108" s="14" t="s">
        <v>145</v>
      </c>
      <c r="B108" s="15">
        <v>45588</v>
      </c>
      <c r="C108" s="14" t="s">
        <v>21</v>
      </c>
      <c r="D108" s="14" t="s">
        <v>42</v>
      </c>
      <c r="E108" s="14" t="s">
        <v>34</v>
      </c>
      <c r="F108" s="14" t="s">
        <v>53</v>
      </c>
      <c r="G108" s="14">
        <v>8</v>
      </c>
      <c r="H108" s="14">
        <v>831</v>
      </c>
      <c r="I108" s="14">
        <v>6648</v>
      </c>
      <c r="J108" s="14">
        <v>4974.46</v>
      </c>
      <c r="K108" s="14">
        <v>1673.54</v>
      </c>
      <c r="L108" s="14" t="s">
        <v>25</v>
      </c>
      <c r="M108" s="14" t="s">
        <v>44</v>
      </c>
    </row>
    <row r="109" spans="1:13" x14ac:dyDescent="0.25">
      <c r="A109" s="14" t="s">
        <v>146</v>
      </c>
      <c r="B109" s="15">
        <v>45498</v>
      </c>
      <c r="C109" s="14" t="s">
        <v>41</v>
      </c>
      <c r="D109" s="14" t="s">
        <v>42</v>
      </c>
      <c r="E109" s="14" t="s">
        <v>16</v>
      </c>
      <c r="F109" s="14" t="s">
        <v>29</v>
      </c>
      <c r="G109" s="14">
        <v>4</v>
      </c>
      <c r="H109" s="14">
        <v>407</v>
      </c>
      <c r="I109" s="14">
        <v>1628</v>
      </c>
      <c r="J109" s="14">
        <v>980.98</v>
      </c>
      <c r="K109" s="14">
        <v>647.02</v>
      </c>
      <c r="L109" s="14" t="s">
        <v>18</v>
      </c>
      <c r="M109" s="14" t="s">
        <v>19</v>
      </c>
    </row>
    <row r="110" spans="1:13" x14ac:dyDescent="0.25">
      <c r="A110" s="14" t="s">
        <v>147</v>
      </c>
      <c r="B110" s="15">
        <v>45349</v>
      </c>
      <c r="C110" s="14" t="s">
        <v>41</v>
      </c>
      <c r="D110" s="14" t="s">
        <v>28</v>
      </c>
      <c r="E110" s="14" t="s">
        <v>34</v>
      </c>
      <c r="F110" s="14" t="s">
        <v>35</v>
      </c>
      <c r="G110" s="14">
        <v>6</v>
      </c>
      <c r="H110" s="14">
        <v>866</v>
      </c>
      <c r="I110" s="14">
        <v>5196</v>
      </c>
      <c r="J110" s="14">
        <v>3394.08</v>
      </c>
      <c r="K110" s="14">
        <v>1801.92</v>
      </c>
      <c r="L110" s="14" t="s">
        <v>25</v>
      </c>
      <c r="M110" s="14" t="s">
        <v>44</v>
      </c>
    </row>
    <row r="111" spans="1:13" x14ac:dyDescent="0.25">
      <c r="A111" s="14" t="s">
        <v>148</v>
      </c>
      <c r="B111" s="15">
        <v>45392</v>
      </c>
      <c r="C111" s="14" t="s">
        <v>21</v>
      </c>
      <c r="D111" s="14" t="s">
        <v>28</v>
      </c>
      <c r="E111" s="14" t="s">
        <v>23</v>
      </c>
      <c r="F111" s="14" t="s">
        <v>43</v>
      </c>
      <c r="G111" s="14">
        <v>7</v>
      </c>
      <c r="H111" s="14">
        <v>768</v>
      </c>
      <c r="I111" s="14">
        <v>5376</v>
      </c>
      <c r="J111" s="14">
        <v>3327.38</v>
      </c>
      <c r="K111" s="14">
        <v>2048.62</v>
      </c>
      <c r="L111" s="14" t="s">
        <v>25</v>
      </c>
      <c r="M111" s="14" t="s">
        <v>26</v>
      </c>
    </row>
    <row r="112" spans="1:13" x14ac:dyDescent="0.25">
      <c r="A112" s="14" t="s">
        <v>149</v>
      </c>
      <c r="B112" s="15">
        <v>45517</v>
      </c>
      <c r="C112" s="14" t="s">
        <v>41</v>
      </c>
      <c r="D112" s="14" t="s">
        <v>15</v>
      </c>
      <c r="E112" s="14" t="s">
        <v>16</v>
      </c>
      <c r="F112" s="14" t="s">
        <v>29</v>
      </c>
      <c r="G112" s="14">
        <v>6</v>
      </c>
      <c r="H112" s="14">
        <v>350</v>
      </c>
      <c r="I112" s="14">
        <v>2100</v>
      </c>
      <c r="J112" s="14">
        <v>1636.08</v>
      </c>
      <c r="K112" s="14">
        <v>463.92</v>
      </c>
      <c r="L112" s="14" t="s">
        <v>18</v>
      </c>
      <c r="M112" s="14" t="s">
        <v>44</v>
      </c>
    </row>
    <row r="113" spans="1:13" x14ac:dyDescent="0.25">
      <c r="A113" s="14" t="s">
        <v>150</v>
      </c>
      <c r="B113" s="15">
        <v>45504</v>
      </c>
      <c r="C113" s="14" t="s">
        <v>21</v>
      </c>
      <c r="D113" s="14" t="s">
        <v>42</v>
      </c>
      <c r="E113" s="14" t="s">
        <v>16</v>
      </c>
      <c r="F113" s="14" t="s">
        <v>29</v>
      </c>
      <c r="G113" s="14">
        <v>4</v>
      </c>
      <c r="H113" s="14">
        <v>386</v>
      </c>
      <c r="I113" s="14">
        <v>1544</v>
      </c>
      <c r="J113" s="14">
        <v>1023.7</v>
      </c>
      <c r="K113" s="14">
        <v>520.29999999999995</v>
      </c>
      <c r="L113" s="14" t="s">
        <v>18</v>
      </c>
      <c r="M113" s="14" t="s">
        <v>44</v>
      </c>
    </row>
    <row r="114" spans="1:13" x14ac:dyDescent="0.25">
      <c r="A114" s="14" t="s">
        <v>151</v>
      </c>
      <c r="B114" s="15">
        <v>45372</v>
      </c>
      <c r="C114" s="14" t="s">
        <v>38</v>
      </c>
      <c r="D114" s="14" t="s">
        <v>28</v>
      </c>
      <c r="E114" s="14" t="s">
        <v>23</v>
      </c>
      <c r="F114" s="14" t="s">
        <v>24</v>
      </c>
      <c r="G114" s="14">
        <v>1</v>
      </c>
      <c r="H114" s="14">
        <v>43</v>
      </c>
      <c r="I114" s="14">
        <v>43</v>
      </c>
      <c r="J114" s="14">
        <v>32.630000000000003</v>
      </c>
      <c r="K114" s="14">
        <v>10.37</v>
      </c>
      <c r="L114" s="14" t="s">
        <v>25</v>
      </c>
      <c r="M114" s="14" t="s">
        <v>44</v>
      </c>
    </row>
    <row r="115" spans="1:13" x14ac:dyDescent="0.25">
      <c r="A115" s="14" t="s">
        <v>152</v>
      </c>
      <c r="B115" s="15">
        <v>45554</v>
      </c>
      <c r="C115" s="14" t="s">
        <v>14</v>
      </c>
      <c r="D115" s="14" t="s">
        <v>28</v>
      </c>
      <c r="E115" s="14" t="s">
        <v>23</v>
      </c>
      <c r="F115" s="14" t="s">
        <v>43</v>
      </c>
      <c r="G115" s="14">
        <v>10</v>
      </c>
      <c r="H115" s="14">
        <v>802</v>
      </c>
      <c r="I115" s="14">
        <v>8020</v>
      </c>
      <c r="J115" s="14">
        <v>4789.6400000000003</v>
      </c>
      <c r="K115" s="14">
        <v>3230.36</v>
      </c>
      <c r="L115" s="14" t="s">
        <v>25</v>
      </c>
      <c r="M115" s="14" t="s">
        <v>19</v>
      </c>
    </row>
    <row r="116" spans="1:13" x14ac:dyDescent="0.25">
      <c r="A116" s="14" t="s">
        <v>153</v>
      </c>
      <c r="B116" s="15">
        <v>45538</v>
      </c>
      <c r="C116" s="14" t="s">
        <v>21</v>
      </c>
      <c r="D116" s="14" t="s">
        <v>15</v>
      </c>
      <c r="E116" s="14" t="s">
        <v>34</v>
      </c>
      <c r="F116" s="14" t="s">
        <v>35</v>
      </c>
      <c r="G116" s="14">
        <v>8</v>
      </c>
      <c r="H116" s="14">
        <v>358</v>
      </c>
      <c r="I116" s="14">
        <v>2864</v>
      </c>
      <c r="J116" s="14">
        <v>1699.74</v>
      </c>
      <c r="K116" s="14">
        <v>1164.26</v>
      </c>
      <c r="L116" s="14" t="s">
        <v>25</v>
      </c>
      <c r="M116" s="14" t="s">
        <v>26</v>
      </c>
    </row>
    <row r="117" spans="1:13" x14ac:dyDescent="0.25">
      <c r="A117" s="14" t="s">
        <v>154</v>
      </c>
      <c r="B117" s="15">
        <v>45515</v>
      </c>
      <c r="C117" s="14" t="s">
        <v>41</v>
      </c>
      <c r="D117" s="14" t="s">
        <v>22</v>
      </c>
      <c r="E117" s="14" t="s">
        <v>16</v>
      </c>
      <c r="F117" s="14" t="s">
        <v>64</v>
      </c>
      <c r="G117" s="14">
        <v>1</v>
      </c>
      <c r="H117" s="14">
        <v>677</v>
      </c>
      <c r="I117" s="14">
        <v>677</v>
      </c>
      <c r="J117" s="14">
        <v>513.29999999999995</v>
      </c>
      <c r="K117" s="14">
        <v>163.69999999999999</v>
      </c>
      <c r="L117" s="14" t="s">
        <v>25</v>
      </c>
      <c r="M117" s="14" t="s">
        <v>26</v>
      </c>
    </row>
    <row r="118" spans="1:13" x14ac:dyDescent="0.25">
      <c r="A118" s="14" t="s">
        <v>155</v>
      </c>
      <c r="B118" s="15">
        <v>45356</v>
      </c>
      <c r="C118" s="14" t="s">
        <v>21</v>
      </c>
      <c r="D118" s="14" t="s">
        <v>22</v>
      </c>
      <c r="E118" s="14" t="s">
        <v>23</v>
      </c>
      <c r="F118" s="14" t="s">
        <v>24</v>
      </c>
      <c r="G118" s="14">
        <v>10</v>
      </c>
      <c r="H118" s="14">
        <v>458</v>
      </c>
      <c r="I118" s="14">
        <v>4580</v>
      </c>
      <c r="J118" s="14">
        <v>2350.02</v>
      </c>
      <c r="K118" s="14">
        <v>2229.98</v>
      </c>
      <c r="L118" s="14" t="s">
        <v>18</v>
      </c>
      <c r="M118" s="14" t="s">
        <v>19</v>
      </c>
    </row>
    <row r="119" spans="1:13" x14ac:dyDescent="0.25">
      <c r="A119" s="14" t="s">
        <v>156</v>
      </c>
      <c r="B119" s="15">
        <v>45427</v>
      </c>
      <c r="C119" s="14" t="s">
        <v>41</v>
      </c>
      <c r="D119" s="14" t="s">
        <v>22</v>
      </c>
      <c r="E119" s="14" t="s">
        <v>34</v>
      </c>
      <c r="F119" s="14" t="s">
        <v>47</v>
      </c>
      <c r="G119" s="14">
        <v>4</v>
      </c>
      <c r="H119" s="14">
        <v>394</v>
      </c>
      <c r="I119" s="14">
        <v>1576</v>
      </c>
      <c r="J119" s="14">
        <v>982.95</v>
      </c>
      <c r="K119" s="14">
        <v>593.04999999999995</v>
      </c>
      <c r="L119" s="14" t="s">
        <v>18</v>
      </c>
      <c r="M119" s="14" t="s">
        <v>26</v>
      </c>
    </row>
    <row r="120" spans="1:13" x14ac:dyDescent="0.25">
      <c r="A120" s="14" t="s">
        <v>157</v>
      </c>
      <c r="B120" s="15">
        <v>45466</v>
      </c>
      <c r="C120" s="14" t="s">
        <v>21</v>
      </c>
      <c r="D120" s="14" t="s">
        <v>22</v>
      </c>
      <c r="E120" s="14" t="s">
        <v>23</v>
      </c>
      <c r="F120" s="14" t="s">
        <v>24</v>
      </c>
      <c r="G120" s="14">
        <v>2</v>
      </c>
      <c r="H120" s="14">
        <v>948</v>
      </c>
      <c r="I120" s="14">
        <v>1896</v>
      </c>
      <c r="J120" s="14">
        <v>1459.63</v>
      </c>
      <c r="K120" s="14">
        <v>436.37</v>
      </c>
      <c r="L120" s="14" t="s">
        <v>18</v>
      </c>
      <c r="M120" s="14" t="s">
        <v>30</v>
      </c>
    </row>
    <row r="121" spans="1:13" x14ac:dyDescent="0.25">
      <c r="A121" s="14" t="s">
        <v>158</v>
      </c>
      <c r="B121" s="15">
        <v>45434</v>
      </c>
      <c r="C121" s="14" t="s">
        <v>38</v>
      </c>
      <c r="D121" s="14" t="s">
        <v>22</v>
      </c>
      <c r="E121" s="14" t="s">
        <v>23</v>
      </c>
      <c r="F121" s="14" t="s">
        <v>43</v>
      </c>
      <c r="G121" s="14">
        <v>2</v>
      </c>
      <c r="H121" s="14">
        <v>88</v>
      </c>
      <c r="I121" s="14">
        <v>176</v>
      </c>
      <c r="J121" s="14">
        <v>120.42</v>
      </c>
      <c r="K121" s="14">
        <v>55.58</v>
      </c>
      <c r="L121" s="14" t="s">
        <v>25</v>
      </c>
      <c r="M121" s="14" t="s">
        <v>19</v>
      </c>
    </row>
    <row r="122" spans="1:13" x14ac:dyDescent="0.25">
      <c r="A122" s="14" t="s">
        <v>159</v>
      </c>
      <c r="B122" s="15">
        <v>45435</v>
      </c>
      <c r="C122" s="14" t="s">
        <v>38</v>
      </c>
      <c r="D122" s="14" t="s">
        <v>15</v>
      </c>
      <c r="E122" s="14" t="s">
        <v>16</v>
      </c>
      <c r="F122" s="14" t="s">
        <v>17</v>
      </c>
      <c r="G122" s="14">
        <v>10</v>
      </c>
      <c r="H122" s="14">
        <v>452</v>
      </c>
      <c r="I122" s="14">
        <v>4520</v>
      </c>
      <c r="J122" s="14">
        <v>3594.64</v>
      </c>
      <c r="K122" s="14">
        <v>925.36</v>
      </c>
      <c r="L122" s="14" t="s">
        <v>18</v>
      </c>
      <c r="M122" s="14" t="s">
        <v>26</v>
      </c>
    </row>
    <row r="123" spans="1:13" x14ac:dyDescent="0.25">
      <c r="A123" s="14" t="s">
        <v>160</v>
      </c>
      <c r="B123" s="15">
        <v>45309</v>
      </c>
      <c r="C123" s="14" t="s">
        <v>38</v>
      </c>
      <c r="D123" s="14" t="s">
        <v>15</v>
      </c>
      <c r="E123" s="14" t="s">
        <v>16</v>
      </c>
      <c r="F123" s="14" t="s">
        <v>64</v>
      </c>
      <c r="G123" s="14">
        <v>5</v>
      </c>
      <c r="H123" s="14">
        <v>98</v>
      </c>
      <c r="I123" s="14">
        <v>490</v>
      </c>
      <c r="J123" s="14">
        <v>254.43</v>
      </c>
      <c r="K123" s="14">
        <v>235.57</v>
      </c>
      <c r="L123" s="14" t="s">
        <v>18</v>
      </c>
      <c r="M123" s="14" t="s">
        <v>30</v>
      </c>
    </row>
    <row r="124" spans="1:13" x14ac:dyDescent="0.25">
      <c r="A124" s="14" t="s">
        <v>161</v>
      </c>
      <c r="B124" s="15">
        <v>45540</v>
      </c>
      <c r="C124" s="14" t="s">
        <v>14</v>
      </c>
      <c r="D124" s="14" t="s">
        <v>28</v>
      </c>
      <c r="E124" s="14" t="s">
        <v>34</v>
      </c>
      <c r="F124" s="14" t="s">
        <v>53</v>
      </c>
      <c r="G124" s="14">
        <v>4</v>
      </c>
      <c r="H124" s="14">
        <v>465</v>
      </c>
      <c r="I124" s="14">
        <v>1860</v>
      </c>
      <c r="J124" s="14">
        <v>1094.94</v>
      </c>
      <c r="K124" s="14">
        <v>765.06</v>
      </c>
      <c r="L124" s="14" t="s">
        <v>18</v>
      </c>
      <c r="M124" s="14" t="s">
        <v>26</v>
      </c>
    </row>
    <row r="125" spans="1:13" x14ac:dyDescent="0.25">
      <c r="A125" s="14" t="s">
        <v>162</v>
      </c>
      <c r="B125" s="15">
        <v>45314</v>
      </c>
      <c r="C125" s="14" t="s">
        <v>41</v>
      </c>
      <c r="D125" s="14" t="s">
        <v>15</v>
      </c>
      <c r="E125" s="14" t="s">
        <v>23</v>
      </c>
      <c r="F125" s="14" t="s">
        <v>43</v>
      </c>
      <c r="G125" s="14">
        <v>6</v>
      </c>
      <c r="H125" s="14">
        <v>980</v>
      </c>
      <c r="I125" s="14">
        <v>5880</v>
      </c>
      <c r="J125" s="14">
        <v>3805.05</v>
      </c>
      <c r="K125" s="14">
        <v>2074.9499999999998</v>
      </c>
      <c r="L125" s="14" t="s">
        <v>18</v>
      </c>
      <c r="M125" s="14" t="s">
        <v>26</v>
      </c>
    </row>
    <row r="126" spans="1:13" x14ac:dyDescent="0.25">
      <c r="A126" s="14" t="s">
        <v>163</v>
      </c>
      <c r="B126" s="15">
        <v>45463</v>
      </c>
      <c r="C126" s="14" t="s">
        <v>41</v>
      </c>
      <c r="D126" s="14" t="s">
        <v>42</v>
      </c>
      <c r="E126" s="14" t="s">
        <v>23</v>
      </c>
      <c r="F126" s="14" t="s">
        <v>24</v>
      </c>
      <c r="G126" s="14">
        <v>10</v>
      </c>
      <c r="H126" s="14">
        <v>694</v>
      </c>
      <c r="I126" s="14">
        <v>6940</v>
      </c>
      <c r="J126" s="14">
        <v>3507.58</v>
      </c>
      <c r="K126" s="14">
        <v>3432.42</v>
      </c>
      <c r="L126" s="14" t="s">
        <v>25</v>
      </c>
      <c r="M126" s="14" t="s">
        <v>44</v>
      </c>
    </row>
    <row r="127" spans="1:13" x14ac:dyDescent="0.25">
      <c r="A127" s="14" t="s">
        <v>164</v>
      </c>
      <c r="B127" s="15">
        <v>45481</v>
      </c>
      <c r="C127" s="14" t="s">
        <v>38</v>
      </c>
      <c r="D127" s="14" t="s">
        <v>28</v>
      </c>
      <c r="E127" s="14" t="s">
        <v>34</v>
      </c>
      <c r="F127" s="14" t="s">
        <v>35</v>
      </c>
      <c r="G127" s="14">
        <v>9</v>
      </c>
      <c r="H127" s="14">
        <v>829</v>
      </c>
      <c r="I127" s="14">
        <v>7461</v>
      </c>
      <c r="J127" s="14">
        <v>4874.38</v>
      </c>
      <c r="K127" s="14">
        <v>2586.62</v>
      </c>
      <c r="L127" s="14" t="s">
        <v>25</v>
      </c>
      <c r="M127" s="14" t="s">
        <v>19</v>
      </c>
    </row>
    <row r="128" spans="1:13" x14ac:dyDescent="0.25">
      <c r="A128" s="14" t="s">
        <v>165</v>
      </c>
      <c r="B128" s="15">
        <v>45507</v>
      </c>
      <c r="C128" s="14" t="s">
        <v>14</v>
      </c>
      <c r="D128" s="14" t="s">
        <v>22</v>
      </c>
      <c r="E128" s="14" t="s">
        <v>23</v>
      </c>
      <c r="F128" s="14" t="s">
        <v>39</v>
      </c>
      <c r="G128" s="14">
        <v>1</v>
      </c>
      <c r="H128" s="14">
        <v>442</v>
      </c>
      <c r="I128" s="14">
        <v>442</v>
      </c>
      <c r="J128" s="14">
        <v>350.73</v>
      </c>
      <c r="K128" s="14">
        <v>91.27</v>
      </c>
      <c r="L128" s="14" t="s">
        <v>18</v>
      </c>
      <c r="M128" s="14" t="s">
        <v>30</v>
      </c>
    </row>
    <row r="129" spans="1:13" x14ac:dyDescent="0.25">
      <c r="A129" s="14" t="s">
        <v>166</v>
      </c>
      <c r="B129" s="15">
        <v>45352</v>
      </c>
      <c r="C129" s="14" t="s">
        <v>38</v>
      </c>
      <c r="D129" s="14" t="s">
        <v>28</v>
      </c>
      <c r="E129" s="14" t="s">
        <v>34</v>
      </c>
      <c r="F129" s="14" t="s">
        <v>53</v>
      </c>
      <c r="G129" s="14">
        <v>1</v>
      </c>
      <c r="H129" s="14">
        <v>510</v>
      </c>
      <c r="I129" s="14">
        <v>510</v>
      </c>
      <c r="J129" s="14">
        <v>315.95</v>
      </c>
      <c r="K129" s="14">
        <v>194.05</v>
      </c>
      <c r="L129" s="14" t="s">
        <v>25</v>
      </c>
      <c r="M129" s="14" t="s">
        <v>19</v>
      </c>
    </row>
    <row r="130" spans="1:13" x14ac:dyDescent="0.25">
      <c r="A130" s="14" t="s">
        <v>167</v>
      </c>
      <c r="B130" s="15">
        <v>45337</v>
      </c>
      <c r="C130" s="14" t="s">
        <v>41</v>
      </c>
      <c r="D130" s="14" t="s">
        <v>28</v>
      </c>
      <c r="E130" s="14" t="s">
        <v>23</v>
      </c>
      <c r="F130" s="14" t="s">
        <v>39</v>
      </c>
      <c r="G130" s="14">
        <v>6</v>
      </c>
      <c r="H130" s="14">
        <v>961</v>
      </c>
      <c r="I130" s="14">
        <v>5766</v>
      </c>
      <c r="J130" s="14">
        <v>3199.12</v>
      </c>
      <c r="K130" s="14">
        <v>2566.88</v>
      </c>
      <c r="L130" s="14" t="s">
        <v>25</v>
      </c>
      <c r="M130" s="14" t="s">
        <v>30</v>
      </c>
    </row>
    <row r="131" spans="1:13" x14ac:dyDescent="0.25">
      <c r="A131" s="14" t="s">
        <v>168</v>
      </c>
      <c r="B131" s="15">
        <v>45526</v>
      </c>
      <c r="C131" s="14" t="s">
        <v>38</v>
      </c>
      <c r="D131" s="14" t="s">
        <v>15</v>
      </c>
      <c r="E131" s="14" t="s">
        <v>23</v>
      </c>
      <c r="F131" s="14" t="s">
        <v>43</v>
      </c>
      <c r="G131" s="14">
        <v>8</v>
      </c>
      <c r="H131" s="14">
        <v>693</v>
      </c>
      <c r="I131" s="14">
        <v>5544</v>
      </c>
      <c r="J131" s="14">
        <v>3609.64</v>
      </c>
      <c r="K131" s="14">
        <v>1934.36</v>
      </c>
      <c r="L131" s="14" t="s">
        <v>18</v>
      </c>
      <c r="M131" s="14" t="s">
        <v>44</v>
      </c>
    </row>
    <row r="132" spans="1:13" x14ac:dyDescent="0.25">
      <c r="A132" s="14" t="s">
        <v>169</v>
      </c>
      <c r="B132" s="15">
        <v>45344</v>
      </c>
      <c r="C132" s="14" t="s">
        <v>41</v>
      </c>
      <c r="D132" s="14" t="s">
        <v>15</v>
      </c>
      <c r="E132" s="14" t="s">
        <v>16</v>
      </c>
      <c r="F132" s="14" t="s">
        <v>17</v>
      </c>
      <c r="G132" s="14">
        <v>6</v>
      </c>
      <c r="H132" s="14">
        <v>923</v>
      </c>
      <c r="I132" s="14">
        <v>5538</v>
      </c>
      <c r="J132" s="14">
        <v>4336.53</v>
      </c>
      <c r="K132" s="14">
        <v>1201.47</v>
      </c>
      <c r="L132" s="14" t="s">
        <v>18</v>
      </c>
      <c r="M132" s="14" t="s">
        <v>26</v>
      </c>
    </row>
    <row r="133" spans="1:13" x14ac:dyDescent="0.25">
      <c r="A133" s="14" t="s">
        <v>170</v>
      </c>
      <c r="B133" s="15">
        <v>45557</v>
      </c>
      <c r="C133" s="14" t="s">
        <v>38</v>
      </c>
      <c r="D133" s="14" t="s">
        <v>15</v>
      </c>
      <c r="E133" s="14" t="s">
        <v>34</v>
      </c>
      <c r="F133" s="14" t="s">
        <v>47</v>
      </c>
      <c r="G133" s="14">
        <v>7</v>
      </c>
      <c r="H133" s="14">
        <v>761</v>
      </c>
      <c r="I133" s="14">
        <v>5327</v>
      </c>
      <c r="J133" s="14">
        <v>3888.2</v>
      </c>
      <c r="K133" s="14">
        <v>1438.8</v>
      </c>
      <c r="L133" s="14" t="s">
        <v>25</v>
      </c>
      <c r="M133" s="14" t="s">
        <v>30</v>
      </c>
    </row>
    <row r="134" spans="1:13" x14ac:dyDescent="0.25">
      <c r="A134" s="14" t="s">
        <v>171</v>
      </c>
      <c r="B134" s="15">
        <v>45336</v>
      </c>
      <c r="C134" s="14" t="s">
        <v>38</v>
      </c>
      <c r="D134" s="14" t="s">
        <v>42</v>
      </c>
      <c r="E134" s="14" t="s">
        <v>34</v>
      </c>
      <c r="F134" s="14" t="s">
        <v>47</v>
      </c>
      <c r="G134" s="14">
        <v>9</v>
      </c>
      <c r="H134" s="14">
        <v>352</v>
      </c>
      <c r="I134" s="14">
        <v>3168</v>
      </c>
      <c r="J134" s="14">
        <v>2430.33</v>
      </c>
      <c r="K134" s="14">
        <v>737.67</v>
      </c>
      <c r="L134" s="14" t="s">
        <v>25</v>
      </c>
      <c r="M134" s="14" t="s">
        <v>44</v>
      </c>
    </row>
    <row r="135" spans="1:13" x14ac:dyDescent="0.25">
      <c r="A135" s="14" t="s">
        <v>172</v>
      </c>
      <c r="B135" s="15">
        <v>45384</v>
      </c>
      <c r="C135" s="14" t="s">
        <v>38</v>
      </c>
      <c r="D135" s="14" t="s">
        <v>42</v>
      </c>
      <c r="E135" s="14" t="s">
        <v>23</v>
      </c>
      <c r="F135" s="14" t="s">
        <v>43</v>
      </c>
      <c r="G135" s="14">
        <v>3</v>
      </c>
      <c r="H135" s="14">
        <v>310</v>
      </c>
      <c r="I135" s="14">
        <v>930</v>
      </c>
      <c r="J135" s="14">
        <v>680.49</v>
      </c>
      <c r="K135" s="14">
        <v>249.51</v>
      </c>
      <c r="L135" s="14" t="s">
        <v>18</v>
      </c>
      <c r="M135" s="14" t="s">
        <v>26</v>
      </c>
    </row>
    <row r="136" spans="1:13" x14ac:dyDescent="0.25">
      <c r="A136" s="14" t="s">
        <v>173</v>
      </c>
      <c r="B136" s="15">
        <v>45539</v>
      </c>
      <c r="C136" s="14" t="s">
        <v>41</v>
      </c>
      <c r="D136" s="14" t="s">
        <v>28</v>
      </c>
      <c r="E136" s="14" t="s">
        <v>34</v>
      </c>
      <c r="F136" s="14" t="s">
        <v>53</v>
      </c>
      <c r="G136" s="14">
        <v>8</v>
      </c>
      <c r="H136" s="14">
        <v>659</v>
      </c>
      <c r="I136" s="14">
        <v>5272</v>
      </c>
      <c r="J136" s="14">
        <v>3524</v>
      </c>
      <c r="K136" s="14">
        <v>1748</v>
      </c>
      <c r="L136" s="14" t="s">
        <v>25</v>
      </c>
      <c r="M136" s="14" t="s">
        <v>30</v>
      </c>
    </row>
    <row r="137" spans="1:13" x14ac:dyDescent="0.25">
      <c r="A137" s="14" t="s">
        <v>174</v>
      </c>
      <c r="B137" s="15">
        <v>45407</v>
      </c>
      <c r="C137" s="14" t="s">
        <v>14</v>
      </c>
      <c r="D137" s="14" t="s">
        <v>42</v>
      </c>
      <c r="E137" s="14" t="s">
        <v>23</v>
      </c>
      <c r="F137" s="14" t="s">
        <v>39</v>
      </c>
      <c r="G137" s="14">
        <v>8</v>
      </c>
      <c r="H137" s="14">
        <v>155</v>
      </c>
      <c r="I137" s="14">
        <v>1240</v>
      </c>
      <c r="J137" s="14">
        <v>780.35</v>
      </c>
      <c r="K137" s="14">
        <v>459.65</v>
      </c>
      <c r="L137" s="14" t="s">
        <v>25</v>
      </c>
      <c r="M137" s="14" t="s">
        <v>26</v>
      </c>
    </row>
    <row r="138" spans="1:13" x14ac:dyDescent="0.25">
      <c r="A138" s="14" t="s">
        <v>175</v>
      </c>
      <c r="B138" s="15">
        <v>45321</v>
      </c>
      <c r="C138" s="14" t="s">
        <v>41</v>
      </c>
      <c r="D138" s="14" t="s">
        <v>22</v>
      </c>
      <c r="E138" s="14" t="s">
        <v>16</v>
      </c>
      <c r="F138" s="14" t="s">
        <v>29</v>
      </c>
      <c r="G138" s="14">
        <v>6</v>
      </c>
      <c r="H138" s="14">
        <v>980</v>
      </c>
      <c r="I138" s="14">
        <v>5880</v>
      </c>
      <c r="J138" s="14">
        <v>3618.7</v>
      </c>
      <c r="K138" s="14">
        <v>2261.3000000000002</v>
      </c>
      <c r="L138" s="14" t="s">
        <v>18</v>
      </c>
      <c r="M138" s="14" t="s">
        <v>44</v>
      </c>
    </row>
    <row r="139" spans="1:13" x14ac:dyDescent="0.25">
      <c r="A139" s="14" t="s">
        <v>176</v>
      </c>
      <c r="B139" s="15">
        <v>45393</v>
      </c>
      <c r="C139" s="14" t="s">
        <v>14</v>
      </c>
      <c r="D139" s="14" t="s">
        <v>42</v>
      </c>
      <c r="E139" s="14" t="s">
        <v>16</v>
      </c>
      <c r="F139" s="14" t="s">
        <v>29</v>
      </c>
      <c r="G139" s="14">
        <v>2</v>
      </c>
      <c r="H139" s="14">
        <v>52</v>
      </c>
      <c r="I139" s="14">
        <v>104</v>
      </c>
      <c r="J139" s="14">
        <v>78.260000000000005</v>
      </c>
      <c r="K139" s="14">
        <v>25.74</v>
      </c>
      <c r="L139" s="14" t="s">
        <v>18</v>
      </c>
      <c r="M139" s="14" t="s">
        <v>19</v>
      </c>
    </row>
    <row r="140" spans="1:13" x14ac:dyDescent="0.25">
      <c r="A140" s="14" t="s">
        <v>177</v>
      </c>
      <c r="B140" s="15">
        <v>45448</v>
      </c>
      <c r="C140" s="14" t="s">
        <v>14</v>
      </c>
      <c r="D140" s="14" t="s">
        <v>42</v>
      </c>
      <c r="E140" s="14" t="s">
        <v>16</v>
      </c>
      <c r="F140" s="14" t="s">
        <v>29</v>
      </c>
      <c r="G140" s="14">
        <v>4</v>
      </c>
      <c r="H140" s="14">
        <v>884</v>
      </c>
      <c r="I140" s="14">
        <v>3536</v>
      </c>
      <c r="J140" s="14">
        <v>1809.77</v>
      </c>
      <c r="K140" s="14">
        <v>1726.23</v>
      </c>
      <c r="L140" s="14" t="s">
        <v>25</v>
      </c>
      <c r="M140" s="14" t="s">
        <v>26</v>
      </c>
    </row>
    <row r="141" spans="1:13" x14ac:dyDescent="0.25">
      <c r="A141" s="14" t="s">
        <v>178</v>
      </c>
      <c r="B141" s="15">
        <v>45430</v>
      </c>
      <c r="C141" s="14" t="s">
        <v>38</v>
      </c>
      <c r="D141" s="14" t="s">
        <v>42</v>
      </c>
      <c r="E141" s="14" t="s">
        <v>34</v>
      </c>
      <c r="F141" s="14" t="s">
        <v>35</v>
      </c>
      <c r="G141" s="14">
        <v>10</v>
      </c>
      <c r="H141" s="14">
        <v>55</v>
      </c>
      <c r="I141" s="14">
        <v>550</v>
      </c>
      <c r="J141" s="14">
        <v>317.18</v>
      </c>
      <c r="K141" s="14">
        <v>232.82</v>
      </c>
      <c r="L141" s="14" t="s">
        <v>18</v>
      </c>
      <c r="M141" s="14" t="s">
        <v>19</v>
      </c>
    </row>
    <row r="142" spans="1:13" x14ac:dyDescent="0.25">
      <c r="A142" s="14" t="s">
        <v>179</v>
      </c>
      <c r="B142" s="15">
        <v>45463</v>
      </c>
      <c r="C142" s="14" t="s">
        <v>14</v>
      </c>
      <c r="D142" s="14" t="s">
        <v>15</v>
      </c>
      <c r="E142" s="14" t="s">
        <v>23</v>
      </c>
      <c r="F142" s="14" t="s">
        <v>24</v>
      </c>
      <c r="G142" s="14">
        <v>3</v>
      </c>
      <c r="H142" s="14">
        <v>220</v>
      </c>
      <c r="I142" s="14">
        <v>660</v>
      </c>
      <c r="J142" s="14">
        <v>407.15</v>
      </c>
      <c r="K142" s="14">
        <v>252.85</v>
      </c>
      <c r="L142" s="14" t="s">
        <v>25</v>
      </c>
      <c r="M142" s="14" t="s">
        <v>44</v>
      </c>
    </row>
    <row r="143" spans="1:13" x14ac:dyDescent="0.25">
      <c r="A143" s="14" t="s">
        <v>180</v>
      </c>
      <c r="B143" s="15">
        <v>45525</v>
      </c>
      <c r="C143" s="14" t="s">
        <v>14</v>
      </c>
      <c r="D143" s="14" t="s">
        <v>22</v>
      </c>
      <c r="E143" s="14" t="s">
        <v>23</v>
      </c>
      <c r="F143" s="14" t="s">
        <v>39</v>
      </c>
      <c r="G143" s="14">
        <v>6</v>
      </c>
      <c r="H143" s="14">
        <v>222</v>
      </c>
      <c r="I143" s="14">
        <v>1332</v>
      </c>
      <c r="J143" s="14">
        <v>1012.79</v>
      </c>
      <c r="K143" s="14">
        <v>319.20999999999998</v>
      </c>
      <c r="L143" s="14" t="s">
        <v>25</v>
      </c>
      <c r="M143" s="14" t="s">
        <v>19</v>
      </c>
    </row>
    <row r="144" spans="1:13" x14ac:dyDescent="0.25">
      <c r="A144" s="14" t="s">
        <v>181</v>
      </c>
      <c r="B144" s="15">
        <v>45445</v>
      </c>
      <c r="C144" s="14" t="s">
        <v>41</v>
      </c>
      <c r="D144" s="14" t="s">
        <v>42</v>
      </c>
      <c r="E144" s="14" t="s">
        <v>16</v>
      </c>
      <c r="F144" s="14" t="s">
        <v>64</v>
      </c>
      <c r="G144" s="14">
        <v>10</v>
      </c>
      <c r="H144" s="14">
        <v>639</v>
      </c>
      <c r="I144" s="14">
        <v>6390</v>
      </c>
      <c r="J144" s="14">
        <v>4346.22</v>
      </c>
      <c r="K144" s="14">
        <v>2043.78</v>
      </c>
      <c r="L144" s="14" t="s">
        <v>25</v>
      </c>
      <c r="M144" s="14" t="s">
        <v>44</v>
      </c>
    </row>
    <row r="145" spans="1:13" x14ac:dyDescent="0.25">
      <c r="A145" s="14" t="s">
        <v>182</v>
      </c>
      <c r="B145" s="15">
        <v>45293</v>
      </c>
      <c r="C145" s="14" t="s">
        <v>21</v>
      </c>
      <c r="D145" s="14" t="s">
        <v>15</v>
      </c>
      <c r="E145" s="14" t="s">
        <v>34</v>
      </c>
      <c r="F145" s="14" t="s">
        <v>53</v>
      </c>
      <c r="G145" s="14">
        <v>6</v>
      </c>
      <c r="H145" s="14">
        <v>462</v>
      </c>
      <c r="I145" s="14">
        <v>2772</v>
      </c>
      <c r="J145" s="14">
        <v>1847.11</v>
      </c>
      <c r="K145" s="14">
        <v>924.89</v>
      </c>
      <c r="L145" s="14" t="s">
        <v>25</v>
      </c>
      <c r="M145" s="14" t="s">
        <v>44</v>
      </c>
    </row>
    <row r="146" spans="1:13" x14ac:dyDescent="0.25">
      <c r="A146" s="14" t="s">
        <v>183</v>
      </c>
      <c r="B146" s="15">
        <v>45408</v>
      </c>
      <c r="C146" s="14" t="s">
        <v>21</v>
      </c>
      <c r="D146" s="14" t="s">
        <v>22</v>
      </c>
      <c r="E146" s="14" t="s">
        <v>16</v>
      </c>
      <c r="F146" s="14" t="s">
        <v>29</v>
      </c>
      <c r="G146" s="14">
        <v>2</v>
      </c>
      <c r="H146" s="14">
        <v>813</v>
      </c>
      <c r="I146" s="14">
        <v>1626</v>
      </c>
      <c r="J146" s="14">
        <v>867.17</v>
      </c>
      <c r="K146" s="14">
        <v>758.83</v>
      </c>
      <c r="L146" s="14" t="s">
        <v>18</v>
      </c>
      <c r="M146" s="14" t="s">
        <v>19</v>
      </c>
    </row>
    <row r="147" spans="1:13" x14ac:dyDescent="0.25">
      <c r="A147" s="14" t="s">
        <v>184</v>
      </c>
      <c r="B147" s="15">
        <v>45390</v>
      </c>
      <c r="C147" s="14" t="s">
        <v>21</v>
      </c>
      <c r="D147" s="14" t="s">
        <v>28</v>
      </c>
      <c r="E147" s="14" t="s">
        <v>23</v>
      </c>
      <c r="F147" s="14" t="s">
        <v>24</v>
      </c>
      <c r="G147" s="14">
        <v>2</v>
      </c>
      <c r="H147" s="14">
        <v>648</v>
      </c>
      <c r="I147" s="14">
        <v>1296</v>
      </c>
      <c r="J147" s="14">
        <v>886.55</v>
      </c>
      <c r="K147" s="14">
        <v>409.45</v>
      </c>
      <c r="L147" s="14" t="s">
        <v>25</v>
      </c>
      <c r="M147" s="14" t="s">
        <v>26</v>
      </c>
    </row>
    <row r="148" spans="1:13" x14ac:dyDescent="0.25">
      <c r="A148" s="14" t="s">
        <v>185</v>
      </c>
      <c r="B148" s="15">
        <v>45303</v>
      </c>
      <c r="C148" s="14" t="s">
        <v>38</v>
      </c>
      <c r="D148" s="14" t="s">
        <v>42</v>
      </c>
      <c r="E148" s="14" t="s">
        <v>16</v>
      </c>
      <c r="F148" s="14" t="s">
        <v>17</v>
      </c>
      <c r="G148" s="14">
        <v>5</v>
      </c>
      <c r="H148" s="14">
        <v>271</v>
      </c>
      <c r="I148" s="14">
        <v>1355</v>
      </c>
      <c r="J148" s="14">
        <v>788.58</v>
      </c>
      <c r="K148" s="14">
        <v>566.41999999999996</v>
      </c>
      <c r="L148" s="14" t="s">
        <v>18</v>
      </c>
      <c r="M148" s="14" t="s">
        <v>26</v>
      </c>
    </row>
    <row r="149" spans="1:13" x14ac:dyDescent="0.25">
      <c r="A149" s="14" t="s">
        <v>186</v>
      </c>
      <c r="B149" s="15">
        <v>45535</v>
      </c>
      <c r="C149" s="14" t="s">
        <v>41</v>
      </c>
      <c r="D149" s="14" t="s">
        <v>15</v>
      </c>
      <c r="E149" s="14" t="s">
        <v>16</v>
      </c>
      <c r="F149" s="14" t="s">
        <v>29</v>
      </c>
      <c r="G149" s="14">
        <v>2</v>
      </c>
      <c r="H149" s="14">
        <v>544</v>
      </c>
      <c r="I149" s="14">
        <v>1088</v>
      </c>
      <c r="J149" s="14">
        <v>654.01</v>
      </c>
      <c r="K149" s="14">
        <v>433.99</v>
      </c>
      <c r="L149" s="14" t="s">
        <v>18</v>
      </c>
      <c r="M149" s="14" t="s">
        <v>19</v>
      </c>
    </row>
    <row r="150" spans="1:13" x14ac:dyDescent="0.25">
      <c r="A150" s="14" t="s">
        <v>187</v>
      </c>
      <c r="B150" s="15">
        <v>45367</v>
      </c>
      <c r="C150" s="14" t="s">
        <v>38</v>
      </c>
      <c r="D150" s="14" t="s">
        <v>15</v>
      </c>
      <c r="E150" s="14" t="s">
        <v>16</v>
      </c>
      <c r="F150" s="14" t="s">
        <v>64</v>
      </c>
      <c r="G150" s="14">
        <v>2</v>
      </c>
      <c r="H150" s="14">
        <v>27</v>
      </c>
      <c r="I150" s="14">
        <v>54</v>
      </c>
      <c r="J150" s="14">
        <v>41.45</v>
      </c>
      <c r="K150" s="14">
        <v>12.55</v>
      </c>
      <c r="L150" s="14" t="s">
        <v>25</v>
      </c>
      <c r="M150" s="14" t="s">
        <v>30</v>
      </c>
    </row>
    <row r="151" spans="1:13" x14ac:dyDescent="0.25">
      <c r="A151" s="14" t="s">
        <v>188</v>
      </c>
      <c r="B151" s="15">
        <v>45357</v>
      </c>
      <c r="C151" s="14" t="s">
        <v>14</v>
      </c>
      <c r="D151" s="14" t="s">
        <v>15</v>
      </c>
      <c r="E151" s="14" t="s">
        <v>23</v>
      </c>
      <c r="F151" s="14" t="s">
        <v>39</v>
      </c>
      <c r="G151" s="14">
        <v>8</v>
      </c>
      <c r="H151" s="14">
        <v>834</v>
      </c>
      <c r="I151" s="14">
        <v>6672</v>
      </c>
      <c r="J151" s="14">
        <v>5278.56</v>
      </c>
      <c r="K151" s="14">
        <v>1393.44</v>
      </c>
      <c r="L151" s="14" t="s">
        <v>25</v>
      </c>
      <c r="M151" s="14" t="s">
        <v>26</v>
      </c>
    </row>
    <row r="152" spans="1:13" x14ac:dyDescent="0.25">
      <c r="A152" s="14" t="s">
        <v>189</v>
      </c>
      <c r="B152" s="15">
        <v>45375</v>
      </c>
      <c r="C152" s="14" t="s">
        <v>21</v>
      </c>
      <c r="D152" s="14" t="s">
        <v>28</v>
      </c>
      <c r="E152" s="14" t="s">
        <v>23</v>
      </c>
      <c r="F152" s="14" t="s">
        <v>43</v>
      </c>
      <c r="G152" s="14">
        <v>4</v>
      </c>
      <c r="H152" s="14">
        <v>328</v>
      </c>
      <c r="I152" s="14">
        <v>1312</v>
      </c>
      <c r="J152" s="14">
        <v>797.69</v>
      </c>
      <c r="K152" s="14">
        <v>514.30999999999995</v>
      </c>
      <c r="L152" s="14" t="s">
        <v>18</v>
      </c>
      <c r="M152" s="14" t="s">
        <v>44</v>
      </c>
    </row>
    <row r="153" spans="1:13" x14ac:dyDescent="0.25">
      <c r="A153" s="14" t="s">
        <v>190</v>
      </c>
      <c r="B153" s="15">
        <v>45332</v>
      </c>
      <c r="C153" s="14" t="s">
        <v>21</v>
      </c>
      <c r="D153" s="14" t="s">
        <v>22</v>
      </c>
      <c r="E153" s="14" t="s">
        <v>23</v>
      </c>
      <c r="F153" s="14" t="s">
        <v>24</v>
      </c>
      <c r="G153" s="14">
        <v>8</v>
      </c>
      <c r="H153" s="14">
        <v>492</v>
      </c>
      <c r="I153" s="14">
        <v>3936</v>
      </c>
      <c r="J153" s="14">
        <v>2499.11</v>
      </c>
      <c r="K153" s="14">
        <v>1436.89</v>
      </c>
      <c r="L153" s="14" t="s">
        <v>18</v>
      </c>
      <c r="M153" s="14" t="s">
        <v>26</v>
      </c>
    </row>
    <row r="154" spans="1:13" x14ac:dyDescent="0.25">
      <c r="A154" s="14" t="s">
        <v>191</v>
      </c>
      <c r="B154" s="15">
        <v>45375</v>
      </c>
      <c r="C154" s="14" t="s">
        <v>41</v>
      </c>
      <c r="D154" s="14" t="s">
        <v>42</v>
      </c>
      <c r="E154" s="14" t="s">
        <v>16</v>
      </c>
      <c r="F154" s="14" t="s">
        <v>17</v>
      </c>
      <c r="G154" s="14">
        <v>2</v>
      </c>
      <c r="H154" s="14">
        <v>870</v>
      </c>
      <c r="I154" s="14">
        <v>1740</v>
      </c>
      <c r="J154" s="14">
        <v>1341.58</v>
      </c>
      <c r="K154" s="14">
        <v>398.42</v>
      </c>
      <c r="L154" s="14" t="s">
        <v>18</v>
      </c>
      <c r="M154" s="14" t="s">
        <v>44</v>
      </c>
    </row>
    <row r="155" spans="1:13" x14ac:dyDescent="0.25">
      <c r="A155" s="14" t="s">
        <v>192</v>
      </c>
      <c r="B155" s="15">
        <v>45540</v>
      </c>
      <c r="C155" s="14" t="s">
        <v>14</v>
      </c>
      <c r="D155" s="14" t="s">
        <v>15</v>
      </c>
      <c r="E155" s="14" t="s">
        <v>34</v>
      </c>
      <c r="F155" s="14" t="s">
        <v>35</v>
      </c>
      <c r="G155" s="14">
        <v>2</v>
      </c>
      <c r="H155" s="14">
        <v>935</v>
      </c>
      <c r="I155" s="14">
        <v>1870</v>
      </c>
      <c r="J155" s="14">
        <v>1156.44</v>
      </c>
      <c r="K155" s="14">
        <v>713.56</v>
      </c>
      <c r="L155" s="14" t="s">
        <v>18</v>
      </c>
      <c r="M155" s="14" t="s">
        <v>26</v>
      </c>
    </row>
    <row r="156" spans="1:13" x14ac:dyDescent="0.25">
      <c r="A156" s="14" t="s">
        <v>193</v>
      </c>
      <c r="B156" s="15">
        <v>45493</v>
      </c>
      <c r="C156" s="14" t="s">
        <v>41</v>
      </c>
      <c r="D156" s="14" t="s">
        <v>28</v>
      </c>
      <c r="E156" s="14" t="s">
        <v>34</v>
      </c>
      <c r="F156" s="14" t="s">
        <v>47</v>
      </c>
      <c r="G156" s="14">
        <v>2</v>
      </c>
      <c r="H156" s="14">
        <v>660</v>
      </c>
      <c r="I156" s="14">
        <v>1320</v>
      </c>
      <c r="J156" s="14">
        <v>666.88</v>
      </c>
      <c r="K156" s="14">
        <v>653.12</v>
      </c>
      <c r="L156" s="14" t="s">
        <v>18</v>
      </c>
      <c r="M156" s="14" t="s">
        <v>44</v>
      </c>
    </row>
    <row r="157" spans="1:13" x14ac:dyDescent="0.25">
      <c r="A157" s="14" t="s">
        <v>194</v>
      </c>
      <c r="B157" s="15">
        <v>45441</v>
      </c>
      <c r="C157" s="14" t="s">
        <v>14</v>
      </c>
      <c r="D157" s="14" t="s">
        <v>28</v>
      </c>
      <c r="E157" s="14" t="s">
        <v>16</v>
      </c>
      <c r="F157" s="14" t="s">
        <v>64</v>
      </c>
      <c r="G157" s="14">
        <v>6</v>
      </c>
      <c r="H157" s="14">
        <v>137</v>
      </c>
      <c r="I157" s="14">
        <v>822</v>
      </c>
      <c r="J157" s="14">
        <v>531.46</v>
      </c>
      <c r="K157" s="14">
        <v>290.54000000000002</v>
      </c>
      <c r="L157" s="14" t="s">
        <v>25</v>
      </c>
      <c r="M157" s="14" t="s">
        <v>44</v>
      </c>
    </row>
    <row r="158" spans="1:13" x14ac:dyDescent="0.25">
      <c r="A158" s="14" t="s">
        <v>195</v>
      </c>
      <c r="B158" s="15">
        <v>45360</v>
      </c>
      <c r="C158" s="14" t="s">
        <v>41</v>
      </c>
      <c r="D158" s="14" t="s">
        <v>15</v>
      </c>
      <c r="E158" s="14" t="s">
        <v>23</v>
      </c>
      <c r="F158" s="14" t="s">
        <v>24</v>
      </c>
      <c r="G158" s="14">
        <v>10</v>
      </c>
      <c r="H158" s="14">
        <v>974</v>
      </c>
      <c r="I158" s="14">
        <v>9740</v>
      </c>
      <c r="J158" s="14">
        <v>7153.36</v>
      </c>
      <c r="K158" s="14">
        <v>2586.64</v>
      </c>
      <c r="L158" s="14" t="s">
        <v>25</v>
      </c>
      <c r="M158" s="14" t="s">
        <v>19</v>
      </c>
    </row>
    <row r="159" spans="1:13" x14ac:dyDescent="0.25">
      <c r="A159" s="14" t="s">
        <v>196</v>
      </c>
      <c r="B159" s="15">
        <v>45518</v>
      </c>
      <c r="C159" s="14" t="s">
        <v>38</v>
      </c>
      <c r="D159" s="14" t="s">
        <v>15</v>
      </c>
      <c r="E159" s="14" t="s">
        <v>23</v>
      </c>
      <c r="F159" s="14" t="s">
        <v>24</v>
      </c>
      <c r="G159" s="14">
        <v>2</v>
      </c>
      <c r="H159" s="14">
        <v>401</v>
      </c>
      <c r="I159" s="14">
        <v>802</v>
      </c>
      <c r="J159" s="14">
        <v>433.63</v>
      </c>
      <c r="K159" s="14">
        <v>368.37</v>
      </c>
      <c r="L159" s="14" t="s">
        <v>18</v>
      </c>
      <c r="M159" s="14" t="s">
        <v>30</v>
      </c>
    </row>
    <row r="160" spans="1:13" x14ac:dyDescent="0.25">
      <c r="A160" s="14" t="s">
        <v>197</v>
      </c>
      <c r="B160" s="15">
        <v>45459</v>
      </c>
      <c r="C160" s="14" t="s">
        <v>41</v>
      </c>
      <c r="D160" s="14" t="s">
        <v>22</v>
      </c>
      <c r="E160" s="14" t="s">
        <v>34</v>
      </c>
      <c r="F160" s="14" t="s">
        <v>35</v>
      </c>
      <c r="G160" s="14">
        <v>8</v>
      </c>
      <c r="H160" s="14">
        <v>421</v>
      </c>
      <c r="I160" s="14">
        <v>3368</v>
      </c>
      <c r="J160" s="14">
        <v>2122.69</v>
      </c>
      <c r="K160" s="14">
        <v>1245.31</v>
      </c>
      <c r="L160" s="14" t="s">
        <v>25</v>
      </c>
      <c r="M160" s="14" t="s">
        <v>26</v>
      </c>
    </row>
    <row r="161" spans="1:13" x14ac:dyDescent="0.25">
      <c r="A161" s="14" t="s">
        <v>198</v>
      </c>
      <c r="B161" s="15">
        <v>45331</v>
      </c>
      <c r="C161" s="14" t="s">
        <v>21</v>
      </c>
      <c r="D161" s="14" t="s">
        <v>42</v>
      </c>
      <c r="E161" s="14" t="s">
        <v>34</v>
      </c>
      <c r="F161" s="14" t="s">
        <v>47</v>
      </c>
      <c r="G161" s="14">
        <v>10</v>
      </c>
      <c r="H161" s="14">
        <v>223</v>
      </c>
      <c r="I161" s="14">
        <v>2230</v>
      </c>
      <c r="J161" s="14">
        <v>1564.88</v>
      </c>
      <c r="K161" s="14">
        <v>665.12</v>
      </c>
      <c r="L161" s="14" t="s">
        <v>25</v>
      </c>
      <c r="M161" s="14" t="s">
        <v>26</v>
      </c>
    </row>
    <row r="162" spans="1:13" x14ac:dyDescent="0.25">
      <c r="A162" s="14" t="s">
        <v>199</v>
      </c>
      <c r="B162" s="15">
        <v>45415</v>
      </c>
      <c r="C162" s="14" t="s">
        <v>41</v>
      </c>
      <c r="D162" s="14" t="s">
        <v>22</v>
      </c>
      <c r="E162" s="14" t="s">
        <v>34</v>
      </c>
      <c r="F162" s="14" t="s">
        <v>47</v>
      </c>
      <c r="G162" s="14">
        <v>5</v>
      </c>
      <c r="H162" s="14">
        <v>717</v>
      </c>
      <c r="I162" s="14">
        <v>3585</v>
      </c>
      <c r="J162" s="14">
        <v>2355.0500000000002</v>
      </c>
      <c r="K162" s="14">
        <v>1229.95</v>
      </c>
      <c r="L162" s="14" t="s">
        <v>18</v>
      </c>
      <c r="M162" s="14" t="s">
        <v>19</v>
      </c>
    </row>
    <row r="163" spans="1:13" x14ac:dyDescent="0.25">
      <c r="A163" s="14" t="s">
        <v>200</v>
      </c>
      <c r="B163" s="15">
        <v>45536</v>
      </c>
      <c r="C163" s="14" t="s">
        <v>41</v>
      </c>
      <c r="D163" s="14" t="s">
        <v>28</v>
      </c>
      <c r="E163" s="14" t="s">
        <v>23</v>
      </c>
      <c r="F163" s="14" t="s">
        <v>43</v>
      </c>
      <c r="G163" s="14">
        <v>5</v>
      </c>
      <c r="H163" s="14">
        <v>769</v>
      </c>
      <c r="I163" s="14">
        <v>3845</v>
      </c>
      <c r="J163" s="14">
        <v>2473.16</v>
      </c>
      <c r="K163" s="14">
        <v>1371.84</v>
      </c>
      <c r="L163" s="14" t="s">
        <v>25</v>
      </c>
      <c r="M163" s="14" t="s">
        <v>19</v>
      </c>
    </row>
    <row r="164" spans="1:13" x14ac:dyDescent="0.25">
      <c r="A164" s="14" t="s">
        <v>201</v>
      </c>
      <c r="B164" s="15">
        <v>45484</v>
      </c>
      <c r="C164" s="14" t="s">
        <v>41</v>
      </c>
      <c r="D164" s="14" t="s">
        <v>22</v>
      </c>
      <c r="E164" s="14" t="s">
        <v>34</v>
      </c>
      <c r="F164" s="14" t="s">
        <v>53</v>
      </c>
      <c r="G164" s="14">
        <v>9</v>
      </c>
      <c r="H164" s="14">
        <v>394</v>
      </c>
      <c r="I164" s="14">
        <v>3546</v>
      </c>
      <c r="J164" s="14">
        <v>1915.02</v>
      </c>
      <c r="K164" s="14">
        <v>1630.98</v>
      </c>
      <c r="L164" s="14" t="s">
        <v>18</v>
      </c>
      <c r="M164" s="14" t="s">
        <v>30</v>
      </c>
    </row>
    <row r="165" spans="1:13" x14ac:dyDescent="0.25">
      <c r="A165" s="14" t="s">
        <v>202</v>
      </c>
      <c r="B165" s="15">
        <v>45477</v>
      </c>
      <c r="C165" s="14" t="s">
        <v>14</v>
      </c>
      <c r="D165" s="14" t="s">
        <v>22</v>
      </c>
      <c r="E165" s="14" t="s">
        <v>23</v>
      </c>
      <c r="F165" s="14" t="s">
        <v>39</v>
      </c>
      <c r="G165" s="14">
        <v>6</v>
      </c>
      <c r="H165" s="14">
        <v>607</v>
      </c>
      <c r="I165" s="14">
        <v>3642</v>
      </c>
      <c r="J165" s="14">
        <v>2113.0300000000002</v>
      </c>
      <c r="K165" s="14">
        <v>1528.97</v>
      </c>
      <c r="L165" s="14" t="s">
        <v>25</v>
      </c>
      <c r="M165" s="14" t="s">
        <v>44</v>
      </c>
    </row>
    <row r="166" spans="1:13" x14ac:dyDescent="0.25">
      <c r="A166" s="14" t="s">
        <v>203</v>
      </c>
      <c r="B166" s="15">
        <v>45513</v>
      </c>
      <c r="C166" s="14" t="s">
        <v>21</v>
      </c>
      <c r="D166" s="14" t="s">
        <v>15</v>
      </c>
      <c r="E166" s="14" t="s">
        <v>23</v>
      </c>
      <c r="F166" s="14" t="s">
        <v>24</v>
      </c>
      <c r="G166" s="14">
        <v>10</v>
      </c>
      <c r="H166" s="14">
        <v>623</v>
      </c>
      <c r="I166" s="14">
        <v>6230</v>
      </c>
      <c r="J166" s="14">
        <v>3679.9</v>
      </c>
      <c r="K166" s="14">
        <v>2550.1</v>
      </c>
      <c r="L166" s="14" t="s">
        <v>18</v>
      </c>
      <c r="M166" s="14" t="s">
        <v>26</v>
      </c>
    </row>
    <row r="167" spans="1:13" x14ac:dyDescent="0.25">
      <c r="A167" s="14" t="s">
        <v>204</v>
      </c>
      <c r="B167" s="15">
        <v>45320</v>
      </c>
      <c r="C167" s="14" t="s">
        <v>38</v>
      </c>
      <c r="D167" s="14" t="s">
        <v>28</v>
      </c>
      <c r="E167" s="14" t="s">
        <v>16</v>
      </c>
      <c r="F167" s="14" t="s">
        <v>17</v>
      </c>
      <c r="G167" s="14">
        <v>5</v>
      </c>
      <c r="H167" s="14">
        <v>888</v>
      </c>
      <c r="I167" s="14">
        <v>4440</v>
      </c>
      <c r="J167" s="14">
        <v>3470.47</v>
      </c>
      <c r="K167" s="14">
        <v>969.53</v>
      </c>
      <c r="L167" s="14" t="s">
        <v>25</v>
      </c>
      <c r="M167" s="14" t="s">
        <v>44</v>
      </c>
    </row>
    <row r="168" spans="1:13" x14ac:dyDescent="0.25">
      <c r="A168" s="14" t="s">
        <v>205</v>
      </c>
      <c r="B168" s="15">
        <v>45434</v>
      </c>
      <c r="C168" s="14" t="s">
        <v>21</v>
      </c>
      <c r="D168" s="14" t="s">
        <v>15</v>
      </c>
      <c r="E168" s="14" t="s">
        <v>16</v>
      </c>
      <c r="F168" s="14" t="s">
        <v>17</v>
      </c>
      <c r="G168" s="14">
        <v>7</v>
      </c>
      <c r="H168" s="14">
        <v>986</v>
      </c>
      <c r="I168" s="14">
        <v>6902</v>
      </c>
      <c r="J168" s="14">
        <v>5090.5600000000004</v>
      </c>
      <c r="K168" s="14">
        <v>1811.44</v>
      </c>
      <c r="L168" s="14" t="s">
        <v>18</v>
      </c>
      <c r="M168" s="14" t="s">
        <v>30</v>
      </c>
    </row>
    <row r="169" spans="1:13" x14ac:dyDescent="0.25">
      <c r="A169" s="14" t="s">
        <v>206</v>
      </c>
      <c r="B169" s="15">
        <v>45490</v>
      </c>
      <c r="C169" s="14" t="s">
        <v>21</v>
      </c>
      <c r="D169" s="14" t="s">
        <v>15</v>
      </c>
      <c r="E169" s="14" t="s">
        <v>16</v>
      </c>
      <c r="F169" s="14" t="s">
        <v>29</v>
      </c>
      <c r="G169" s="14">
        <v>8</v>
      </c>
      <c r="H169" s="14">
        <v>611</v>
      </c>
      <c r="I169" s="14">
        <v>4888</v>
      </c>
      <c r="J169" s="14">
        <v>3293.2</v>
      </c>
      <c r="K169" s="14">
        <v>1594.8</v>
      </c>
      <c r="L169" s="14" t="s">
        <v>18</v>
      </c>
      <c r="M169" s="14" t="s">
        <v>26</v>
      </c>
    </row>
    <row r="170" spans="1:13" x14ac:dyDescent="0.25">
      <c r="A170" s="14" t="s">
        <v>207</v>
      </c>
      <c r="B170" s="15">
        <v>45316</v>
      </c>
      <c r="C170" s="14" t="s">
        <v>21</v>
      </c>
      <c r="D170" s="14" t="s">
        <v>42</v>
      </c>
      <c r="E170" s="14" t="s">
        <v>34</v>
      </c>
      <c r="F170" s="14" t="s">
        <v>53</v>
      </c>
      <c r="G170" s="14">
        <v>5</v>
      </c>
      <c r="H170" s="14">
        <v>575</v>
      </c>
      <c r="I170" s="14">
        <v>2875</v>
      </c>
      <c r="J170" s="14">
        <v>1847.31</v>
      </c>
      <c r="K170" s="14">
        <v>1027.69</v>
      </c>
      <c r="L170" s="14" t="s">
        <v>18</v>
      </c>
      <c r="M170" s="14" t="s">
        <v>30</v>
      </c>
    </row>
    <row r="171" spans="1:13" x14ac:dyDescent="0.25">
      <c r="A171" s="14" t="s">
        <v>208</v>
      </c>
      <c r="B171" s="15">
        <v>45408</v>
      </c>
      <c r="C171" s="14" t="s">
        <v>41</v>
      </c>
      <c r="D171" s="14" t="s">
        <v>22</v>
      </c>
      <c r="E171" s="14" t="s">
        <v>16</v>
      </c>
      <c r="F171" s="14" t="s">
        <v>64</v>
      </c>
      <c r="G171" s="14">
        <v>4</v>
      </c>
      <c r="H171" s="14">
        <v>804</v>
      </c>
      <c r="I171" s="14">
        <v>3216</v>
      </c>
      <c r="J171" s="14">
        <v>2467.4299999999998</v>
      </c>
      <c r="K171" s="14">
        <v>748.57</v>
      </c>
      <c r="L171" s="14" t="s">
        <v>18</v>
      </c>
      <c r="M171" s="14" t="s">
        <v>30</v>
      </c>
    </row>
    <row r="172" spans="1:13" x14ac:dyDescent="0.25">
      <c r="A172" s="14" t="s">
        <v>209</v>
      </c>
      <c r="B172" s="15">
        <v>45547</v>
      </c>
      <c r="C172" s="14" t="s">
        <v>14</v>
      </c>
      <c r="D172" s="14" t="s">
        <v>22</v>
      </c>
      <c r="E172" s="14" t="s">
        <v>23</v>
      </c>
      <c r="F172" s="14" t="s">
        <v>39</v>
      </c>
      <c r="G172" s="14">
        <v>4</v>
      </c>
      <c r="H172" s="14">
        <v>578</v>
      </c>
      <c r="I172" s="14">
        <v>2312</v>
      </c>
      <c r="J172" s="14">
        <v>1662.19</v>
      </c>
      <c r="K172" s="14">
        <v>649.80999999999995</v>
      </c>
      <c r="L172" s="14" t="s">
        <v>25</v>
      </c>
      <c r="M172" s="14" t="s">
        <v>44</v>
      </c>
    </row>
    <row r="173" spans="1:13" x14ac:dyDescent="0.25">
      <c r="A173" s="14" t="s">
        <v>210</v>
      </c>
      <c r="B173" s="15">
        <v>45385</v>
      </c>
      <c r="C173" s="14" t="s">
        <v>21</v>
      </c>
      <c r="D173" s="14" t="s">
        <v>22</v>
      </c>
      <c r="E173" s="14" t="s">
        <v>34</v>
      </c>
      <c r="F173" s="14" t="s">
        <v>47</v>
      </c>
      <c r="G173" s="14">
        <v>8</v>
      </c>
      <c r="H173" s="14">
        <v>238</v>
      </c>
      <c r="I173" s="14">
        <v>1904</v>
      </c>
      <c r="J173" s="14">
        <v>1028.67</v>
      </c>
      <c r="K173" s="14">
        <v>875.33</v>
      </c>
      <c r="L173" s="14" t="s">
        <v>25</v>
      </c>
      <c r="M173" s="14" t="s">
        <v>30</v>
      </c>
    </row>
    <row r="174" spans="1:13" x14ac:dyDescent="0.25">
      <c r="A174" s="14" t="s">
        <v>211</v>
      </c>
      <c r="B174" s="15">
        <v>45487</v>
      </c>
      <c r="C174" s="14" t="s">
        <v>21</v>
      </c>
      <c r="D174" s="14" t="s">
        <v>22</v>
      </c>
      <c r="E174" s="14" t="s">
        <v>34</v>
      </c>
      <c r="F174" s="14" t="s">
        <v>53</v>
      </c>
      <c r="G174" s="14">
        <v>6</v>
      </c>
      <c r="H174" s="14">
        <v>947</v>
      </c>
      <c r="I174" s="14">
        <v>5682</v>
      </c>
      <c r="J174" s="14">
        <v>3767.49</v>
      </c>
      <c r="K174" s="14">
        <v>1914.51</v>
      </c>
      <c r="L174" s="14" t="s">
        <v>25</v>
      </c>
      <c r="M174" s="14" t="s">
        <v>44</v>
      </c>
    </row>
    <row r="175" spans="1:13" x14ac:dyDescent="0.25">
      <c r="A175" s="14" t="s">
        <v>212</v>
      </c>
      <c r="B175" s="15">
        <v>45558</v>
      </c>
      <c r="C175" s="14" t="s">
        <v>14</v>
      </c>
      <c r="D175" s="14" t="s">
        <v>42</v>
      </c>
      <c r="E175" s="14" t="s">
        <v>34</v>
      </c>
      <c r="F175" s="14" t="s">
        <v>53</v>
      </c>
      <c r="G175" s="14">
        <v>4</v>
      </c>
      <c r="H175" s="14">
        <v>630</v>
      </c>
      <c r="I175" s="14">
        <v>2520</v>
      </c>
      <c r="J175" s="14">
        <v>1982.41</v>
      </c>
      <c r="K175" s="14">
        <v>537.59</v>
      </c>
      <c r="L175" s="14" t="s">
        <v>18</v>
      </c>
      <c r="M175" s="14" t="s">
        <v>26</v>
      </c>
    </row>
    <row r="176" spans="1:13" x14ac:dyDescent="0.25">
      <c r="A176" s="14" t="s">
        <v>213</v>
      </c>
      <c r="B176" s="15">
        <v>45583</v>
      </c>
      <c r="C176" s="14" t="s">
        <v>14</v>
      </c>
      <c r="D176" s="14" t="s">
        <v>28</v>
      </c>
      <c r="E176" s="14" t="s">
        <v>34</v>
      </c>
      <c r="F176" s="14" t="s">
        <v>47</v>
      </c>
      <c r="G176" s="14">
        <v>7</v>
      </c>
      <c r="H176" s="14">
        <v>455</v>
      </c>
      <c r="I176" s="14">
        <v>3185</v>
      </c>
      <c r="J176" s="14">
        <v>2051.44</v>
      </c>
      <c r="K176" s="14">
        <v>1133.56</v>
      </c>
      <c r="L176" s="14" t="s">
        <v>18</v>
      </c>
      <c r="M176" s="14" t="s">
        <v>26</v>
      </c>
    </row>
    <row r="177" spans="1:13" x14ac:dyDescent="0.25">
      <c r="A177" s="14" t="s">
        <v>214</v>
      </c>
      <c r="B177" s="15">
        <v>45520</v>
      </c>
      <c r="C177" s="14" t="s">
        <v>41</v>
      </c>
      <c r="D177" s="14" t="s">
        <v>28</v>
      </c>
      <c r="E177" s="14" t="s">
        <v>34</v>
      </c>
      <c r="F177" s="14" t="s">
        <v>53</v>
      </c>
      <c r="G177" s="14">
        <v>4</v>
      </c>
      <c r="H177" s="14">
        <v>381</v>
      </c>
      <c r="I177" s="14">
        <v>1524</v>
      </c>
      <c r="J177" s="14">
        <v>865.71</v>
      </c>
      <c r="K177" s="14">
        <v>658.29</v>
      </c>
      <c r="L177" s="14" t="s">
        <v>25</v>
      </c>
      <c r="M177" s="14" t="s">
        <v>19</v>
      </c>
    </row>
    <row r="178" spans="1:13" x14ac:dyDescent="0.25">
      <c r="A178" s="14" t="s">
        <v>215</v>
      </c>
      <c r="B178" s="15">
        <v>45306</v>
      </c>
      <c r="C178" s="14" t="s">
        <v>21</v>
      </c>
      <c r="D178" s="14" t="s">
        <v>15</v>
      </c>
      <c r="E178" s="14" t="s">
        <v>23</v>
      </c>
      <c r="F178" s="14" t="s">
        <v>39</v>
      </c>
      <c r="G178" s="14">
        <v>1</v>
      </c>
      <c r="H178" s="14">
        <v>274</v>
      </c>
      <c r="I178" s="14">
        <v>274</v>
      </c>
      <c r="J178" s="14">
        <v>158.93</v>
      </c>
      <c r="K178" s="14">
        <v>115.07</v>
      </c>
      <c r="L178" s="14" t="s">
        <v>18</v>
      </c>
      <c r="M178" s="14" t="s">
        <v>26</v>
      </c>
    </row>
    <row r="179" spans="1:13" x14ac:dyDescent="0.25">
      <c r="A179" s="14" t="s">
        <v>216</v>
      </c>
      <c r="B179" s="15">
        <v>45511</v>
      </c>
      <c r="C179" s="14" t="s">
        <v>21</v>
      </c>
      <c r="D179" s="14" t="s">
        <v>22</v>
      </c>
      <c r="E179" s="14" t="s">
        <v>23</v>
      </c>
      <c r="F179" s="14" t="s">
        <v>24</v>
      </c>
      <c r="G179" s="14">
        <v>2</v>
      </c>
      <c r="H179" s="14">
        <v>408</v>
      </c>
      <c r="I179" s="14">
        <v>816</v>
      </c>
      <c r="J179" s="14">
        <v>467.86</v>
      </c>
      <c r="K179" s="14">
        <v>348.14</v>
      </c>
      <c r="L179" s="14" t="s">
        <v>25</v>
      </c>
      <c r="M179" s="14" t="s">
        <v>44</v>
      </c>
    </row>
    <row r="180" spans="1:13" x14ac:dyDescent="0.25">
      <c r="A180" s="14" t="s">
        <v>217</v>
      </c>
      <c r="B180" s="15">
        <v>45427</v>
      </c>
      <c r="C180" s="14" t="s">
        <v>14</v>
      </c>
      <c r="D180" s="14" t="s">
        <v>15</v>
      </c>
      <c r="E180" s="14" t="s">
        <v>23</v>
      </c>
      <c r="F180" s="14" t="s">
        <v>24</v>
      </c>
      <c r="G180" s="14">
        <v>2</v>
      </c>
      <c r="H180" s="14">
        <v>659</v>
      </c>
      <c r="I180" s="14">
        <v>1318</v>
      </c>
      <c r="J180" s="14">
        <v>828.29</v>
      </c>
      <c r="K180" s="14">
        <v>489.71</v>
      </c>
      <c r="L180" s="14" t="s">
        <v>18</v>
      </c>
      <c r="M180" s="14" t="s">
        <v>19</v>
      </c>
    </row>
    <row r="181" spans="1:13" x14ac:dyDescent="0.25">
      <c r="A181" s="14" t="s">
        <v>218</v>
      </c>
      <c r="B181" s="15">
        <v>45430</v>
      </c>
      <c r="C181" s="14" t="s">
        <v>38</v>
      </c>
      <c r="D181" s="14" t="s">
        <v>22</v>
      </c>
      <c r="E181" s="14" t="s">
        <v>34</v>
      </c>
      <c r="F181" s="14" t="s">
        <v>47</v>
      </c>
      <c r="G181" s="14">
        <v>1</v>
      </c>
      <c r="H181" s="14">
        <v>288</v>
      </c>
      <c r="I181" s="14">
        <v>288</v>
      </c>
      <c r="J181" s="14">
        <v>229.38</v>
      </c>
      <c r="K181" s="14">
        <v>58.62</v>
      </c>
      <c r="L181" s="14" t="s">
        <v>25</v>
      </c>
      <c r="M181" s="14" t="s">
        <v>44</v>
      </c>
    </row>
    <row r="182" spans="1:13" x14ac:dyDescent="0.25">
      <c r="A182" s="14" t="s">
        <v>219</v>
      </c>
      <c r="B182" s="15">
        <v>45466</v>
      </c>
      <c r="C182" s="14" t="s">
        <v>41</v>
      </c>
      <c r="D182" s="14" t="s">
        <v>28</v>
      </c>
      <c r="E182" s="14" t="s">
        <v>23</v>
      </c>
      <c r="F182" s="14" t="s">
        <v>39</v>
      </c>
      <c r="G182" s="14">
        <v>10</v>
      </c>
      <c r="H182" s="14">
        <v>587</v>
      </c>
      <c r="I182" s="14">
        <v>5870</v>
      </c>
      <c r="J182" s="14">
        <v>4343.2700000000004</v>
      </c>
      <c r="K182" s="14">
        <v>1526.73</v>
      </c>
      <c r="L182" s="14" t="s">
        <v>18</v>
      </c>
      <c r="M182" s="14" t="s">
        <v>26</v>
      </c>
    </row>
    <row r="183" spans="1:13" x14ac:dyDescent="0.25">
      <c r="A183" s="14" t="s">
        <v>220</v>
      </c>
      <c r="B183" s="15">
        <v>45592</v>
      </c>
      <c r="C183" s="14" t="s">
        <v>14</v>
      </c>
      <c r="D183" s="14" t="s">
        <v>15</v>
      </c>
      <c r="E183" s="14" t="s">
        <v>34</v>
      </c>
      <c r="F183" s="14" t="s">
        <v>35</v>
      </c>
      <c r="G183" s="14">
        <v>6</v>
      </c>
      <c r="H183" s="14">
        <v>380</v>
      </c>
      <c r="I183" s="14">
        <v>2280</v>
      </c>
      <c r="J183" s="14">
        <v>1636.3</v>
      </c>
      <c r="K183" s="14">
        <v>643.70000000000005</v>
      </c>
      <c r="L183" s="14" t="s">
        <v>25</v>
      </c>
      <c r="M183" s="14" t="s">
        <v>19</v>
      </c>
    </row>
    <row r="184" spans="1:13" x14ac:dyDescent="0.25">
      <c r="A184" s="14" t="s">
        <v>221</v>
      </c>
      <c r="B184" s="15">
        <v>45303</v>
      </c>
      <c r="C184" s="14" t="s">
        <v>14</v>
      </c>
      <c r="D184" s="14" t="s">
        <v>15</v>
      </c>
      <c r="E184" s="14" t="s">
        <v>16</v>
      </c>
      <c r="F184" s="14" t="s">
        <v>29</v>
      </c>
      <c r="G184" s="14">
        <v>3</v>
      </c>
      <c r="H184" s="14">
        <v>813</v>
      </c>
      <c r="I184" s="14">
        <v>2439</v>
      </c>
      <c r="J184" s="14">
        <v>1751.42</v>
      </c>
      <c r="K184" s="14">
        <v>687.58</v>
      </c>
      <c r="L184" s="14" t="s">
        <v>18</v>
      </c>
      <c r="M184" s="14" t="s">
        <v>30</v>
      </c>
    </row>
    <row r="185" spans="1:13" x14ac:dyDescent="0.25">
      <c r="A185" s="14" t="s">
        <v>222</v>
      </c>
      <c r="B185" s="15">
        <v>45570</v>
      </c>
      <c r="C185" s="14" t="s">
        <v>38</v>
      </c>
      <c r="D185" s="14" t="s">
        <v>22</v>
      </c>
      <c r="E185" s="14" t="s">
        <v>23</v>
      </c>
      <c r="F185" s="14" t="s">
        <v>43</v>
      </c>
      <c r="G185" s="14">
        <v>8</v>
      </c>
      <c r="H185" s="14">
        <v>29</v>
      </c>
      <c r="I185" s="14">
        <v>232</v>
      </c>
      <c r="J185" s="14">
        <v>134.41</v>
      </c>
      <c r="K185" s="14">
        <v>97.59</v>
      </c>
      <c r="L185" s="14" t="s">
        <v>25</v>
      </c>
      <c r="M185" s="14" t="s">
        <v>30</v>
      </c>
    </row>
    <row r="186" spans="1:13" x14ac:dyDescent="0.25">
      <c r="A186" s="14" t="s">
        <v>223</v>
      </c>
      <c r="B186" s="15">
        <v>45351</v>
      </c>
      <c r="C186" s="14" t="s">
        <v>21</v>
      </c>
      <c r="D186" s="14" t="s">
        <v>28</v>
      </c>
      <c r="E186" s="14" t="s">
        <v>16</v>
      </c>
      <c r="F186" s="14" t="s">
        <v>64</v>
      </c>
      <c r="G186" s="14">
        <v>3</v>
      </c>
      <c r="H186" s="14">
        <v>652</v>
      </c>
      <c r="I186" s="14">
        <v>1956</v>
      </c>
      <c r="J186" s="14">
        <v>1194.01</v>
      </c>
      <c r="K186" s="14">
        <v>761.99</v>
      </c>
      <c r="L186" s="14" t="s">
        <v>25</v>
      </c>
      <c r="M186" s="14" t="s">
        <v>26</v>
      </c>
    </row>
    <row r="187" spans="1:13" x14ac:dyDescent="0.25">
      <c r="A187" s="14" t="s">
        <v>224</v>
      </c>
      <c r="B187" s="15">
        <v>45374</v>
      </c>
      <c r="C187" s="14" t="s">
        <v>14</v>
      </c>
      <c r="D187" s="14" t="s">
        <v>15</v>
      </c>
      <c r="E187" s="14" t="s">
        <v>16</v>
      </c>
      <c r="F187" s="14" t="s">
        <v>64</v>
      </c>
      <c r="G187" s="14">
        <v>3</v>
      </c>
      <c r="H187" s="14">
        <v>539</v>
      </c>
      <c r="I187" s="14">
        <v>1617</v>
      </c>
      <c r="J187" s="14">
        <v>1159.42</v>
      </c>
      <c r="K187" s="14">
        <v>457.58</v>
      </c>
      <c r="L187" s="14" t="s">
        <v>18</v>
      </c>
      <c r="M187" s="14" t="s">
        <v>19</v>
      </c>
    </row>
    <row r="188" spans="1:13" x14ac:dyDescent="0.25">
      <c r="A188" s="14" t="s">
        <v>225</v>
      </c>
      <c r="B188" s="15">
        <v>45470</v>
      </c>
      <c r="C188" s="14" t="s">
        <v>21</v>
      </c>
      <c r="D188" s="14" t="s">
        <v>22</v>
      </c>
      <c r="E188" s="14" t="s">
        <v>23</v>
      </c>
      <c r="F188" s="14" t="s">
        <v>43</v>
      </c>
      <c r="G188" s="14">
        <v>2</v>
      </c>
      <c r="H188" s="14">
        <v>654</v>
      </c>
      <c r="I188" s="14">
        <v>1308</v>
      </c>
      <c r="J188" s="14">
        <v>821.35</v>
      </c>
      <c r="K188" s="14">
        <v>486.65</v>
      </c>
      <c r="L188" s="14" t="s">
        <v>25</v>
      </c>
      <c r="M188" s="14" t="s">
        <v>19</v>
      </c>
    </row>
    <row r="189" spans="1:13" x14ac:dyDescent="0.25">
      <c r="A189" s="14" t="s">
        <v>226</v>
      </c>
      <c r="B189" s="15">
        <v>45333</v>
      </c>
      <c r="C189" s="14" t="s">
        <v>38</v>
      </c>
      <c r="D189" s="14" t="s">
        <v>15</v>
      </c>
      <c r="E189" s="14" t="s">
        <v>34</v>
      </c>
      <c r="F189" s="14" t="s">
        <v>53</v>
      </c>
      <c r="G189" s="14">
        <v>8</v>
      </c>
      <c r="H189" s="14">
        <v>129</v>
      </c>
      <c r="I189" s="14">
        <v>1032</v>
      </c>
      <c r="J189" s="14">
        <v>627.08000000000004</v>
      </c>
      <c r="K189" s="14">
        <v>404.92</v>
      </c>
      <c r="L189" s="14" t="s">
        <v>25</v>
      </c>
      <c r="M189" s="14" t="s">
        <v>19</v>
      </c>
    </row>
    <row r="190" spans="1:13" x14ac:dyDescent="0.25">
      <c r="A190" s="14" t="s">
        <v>227</v>
      </c>
      <c r="B190" s="15">
        <v>45543</v>
      </c>
      <c r="C190" s="14" t="s">
        <v>38</v>
      </c>
      <c r="D190" s="14" t="s">
        <v>15</v>
      </c>
      <c r="E190" s="14" t="s">
        <v>16</v>
      </c>
      <c r="F190" s="14" t="s">
        <v>64</v>
      </c>
      <c r="G190" s="14">
        <v>5</v>
      </c>
      <c r="H190" s="14">
        <v>298</v>
      </c>
      <c r="I190" s="14">
        <v>1490</v>
      </c>
      <c r="J190" s="14">
        <v>1081.78</v>
      </c>
      <c r="K190" s="14">
        <v>408.22</v>
      </c>
      <c r="L190" s="14" t="s">
        <v>25</v>
      </c>
      <c r="M190" s="14" t="s">
        <v>19</v>
      </c>
    </row>
    <row r="191" spans="1:13" x14ac:dyDescent="0.25">
      <c r="A191" s="14" t="s">
        <v>228</v>
      </c>
      <c r="B191" s="15">
        <v>45541</v>
      </c>
      <c r="C191" s="14" t="s">
        <v>21</v>
      </c>
      <c r="D191" s="14" t="s">
        <v>22</v>
      </c>
      <c r="E191" s="14" t="s">
        <v>16</v>
      </c>
      <c r="F191" s="14" t="s">
        <v>64</v>
      </c>
      <c r="G191" s="14">
        <v>4</v>
      </c>
      <c r="H191" s="14">
        <v>636</v>
      </c>
      <c r="I191" s="14">
        <v>2544</v>
      </c>
      <c r="J191" s="14">
        <v>1717.88</v>
      </c>
      <c r="K191" s="14">
        <v>826.12</v>
      </c>
      <c r="L191" s="14" t="s">
        <v>25</v>
      </c>
      <c r="M191" s="14" t="s">
        <v>26</v>
      </c>
    </row>
    <row r="192" spans="1:13" x14ac:dyDescent="0.25">
      <c r="A192" s="14" t="s">
        <v>229</v>
      </c>
      <c r="B192" s="15">
        <v>45350</v>
      </c>
      <c r="C192" s="14" t="s">
        <v>21</v>
      </c>
      <c r="D192" s="14" t="s">
        <v>42</v>
      </c>
      <c r="E192" s="14" t="s">
        <v>34</v>
      </c>
      <c r="F192" s="14" t="s">
        <v>53</v>
      </c>
      <c r="G192" s="14">
        <v>4</v>
      </c>
      <c r="H192" s="14">
        <v>340</v>
      </c>
      <c r="I192" s="14">
        <v>1360</v>
      </c>
      <c r="J192" s="14">
        <v>927.41</v>
      </c>
      <c r="K192" s="14">
        <v>432.59</v>
      </c>
      <c r="L192" s="14" t="s">
        <v>25</v>
      </c>
      <c r="M192" s="14" t="s">
        <v>30</v>
      </c>
    </row>
    <row r="193" spans="1:13" x14ac:dyDescent="0.25">
      <c r="A193" s="14" t="s">
        <v>230</v>
      </c>
      <c r="B193" s="15">
        <v>45379</v>
      </c>
      <c r="C193" s="14" t="s">
        <v>41</v>
      </c>
      <c r="D193" s="14" t="s">
        <v>42</v>
      </c>
      <c r="E193" s="14" t="s">
        <v>34</v>
      </c>
      <c r="F193" s="14" t="s">
        <v>53</v>
      </c>
      <c r="G193" s="14">
        <v>5</v>
      </c>
      <c r="H193" s="14">
        <v>732</v>
      </c>
      <c r="I193" s="14">
        <v>3660</v>
      </c>
      <c r="J193" s="14">
        <v>1992.72</v>
      </c>
      <c r="K193" s="14">
        <v>1667.28</v>
      </c>
      <c r="L193" s="14" t="s">
        <v>18</v>
      </c>
      <c r="M193" s="14" t="s">
        <v>19</v>
      </c>
    </row>
    <row r="194" spans="1:13" x14ac:dyDescent="0.25">
      <c r="A194" s="14" t="s">
        <v>231</v>
      </c>
      <c r="B194" s="15">
        <v>45582</v>
      </c>
      <c r="C194" s="14" t="s">
        <v>38</v>
      </c>
      <c r="D194" s="14" t="s">
        <v>22</v>
      </c>
      <c r="E194" s="14" t="s">
        <v>34</v>
      </c>
      <c r="F194" s="14" t="s">
        <v>53</v>
      </c>
      <c r="G194" s="14">
        <v>2</v>
      </c>
      <c r="H194" s="14">
        <v>993</v>
      </c>
      <c r="I194" s="14">
        <v>1986</v>
      </c>
      <c r="J194" s="14">
        <v>1306.5899999999999</v>
      </c>
      <c r="K194" s="14">
        <v>679.41</v>
      </c>
      <c r="L194" s="14" t="s">
        <v>18</v>
      </c>
      <c r="M194" s="14" t="s">
        <v>26</v>
      </c>
    </row>
    <row r="195" spans="1:13" x14ac:dyDescent="0.25">
      <c r="A195" s="14" t="s">
        <v>232</v>
      </c>
      <c r="B195" s="15">
        <v>45397</v>
      </c>
      <c r="C195" s="14" t="s">
        <v>14</v>
      </c>
      <c r="D195" s="14" t="s">
        <v>15</v>
      </c>
      <c r="E195" s="14" t="s">
        <v>23</v>
      </c>
      <c r="F195" s="14" t="s">
        <v>43</v>
      </c>
      <c r="G195" s="14">
        <v>7</v>
      </c>
      <c r="H195" s="14">
        <v>930</v>
      </c>
      <c r="I195" s="14">
        <v>6510</v>
      </c>
      <c r="J195" s="14">
        <v>4755.92</v>
      </c>
      <c r="K195" s="14">
        <v>1754.08</v>
      </c>
      <c r="L195" s="14" t="s">
        <v>18</v>
      </c>
      <c r="M195" s="14" t="s">
        <v>26</v>
      </c>
    </row>
    <row r="196" spans="1:13" x14ac:dyDescent="0.25">
      <c r="A196" s="14" t="s">
        <v>233</v>
      </c>
      <c r="B196" s="15">
        <v>45561</v>
      </c>
      <c r="C196" s="14" t="s">
        <v>38</v>
      </c>
      <c r="D196" s="14" t="s">
        <v>28</v>
      </c>
      <c r="E196" s="14" t="s">
        <v>23</v>
      </c>
      <c r="F196" s="14" t="s">
        <v>24</v>
      </c>
      <c r="G196" s="14">
        <v>2</v>
      </c>
      <c r="H196" s="14">
        <v>883</v>
      </c>
      <c r="I196" s="14">
        <v>1766</v>
      </c>
      <c r="J196" s="14">
        <v>1393.32</v>
      </c>
      <c r="K196" s="14">
        <v>372.68</v>
      </c>
      <c r="L196" s="14" t="s">
        <v>18</v>
      </c>
      <c r="M196" s="14" t="s">
        <v>26</v>
      </c>
    </row>
    <row r="197" spans="1:13" x14ac:dyDescent="0.25">
      <c r="A197" s="14" t="s">
        <v>234</v>
      </c>
      <c r="B197" s="15">
        <v>45399</v>
      </c>
      <c r="C197" s="14" t="s">
        <v>14</v>
      </c>
      <c r="D197" s="14" t="s">
        <v>42</v>
      </c>
      <c r="E197" s="14" t="s">
        <v>16</v>
      </c>
      <c r="F197" s="14" t="s">
        <v>64</v>
      </c>
      <c r="G197" s="14">
        <v>7</v>
      </c>
      <c r="H197" s="14">
        <v>203</v>
      </c>
      <c r="I197" s="14">
        <v>1421</v>
      </c>
      <c r="J197" s="14">
        <v>1083.25</v>
      </c>
      <c r="K197" s="14">
        <v>337.75</v>
      </c>
      <c r="L197" s="14" t="s">
        <v>18</v>
      </c>
      <c r="M197" s="14" t="s">
        <v>44</v>
      </c>
    </row>
    <row r="198" spans="1:13" x14ac:dyDescent="0.25">
      <c r="A198" s="14" t="s">
        <v>235</v>
      </c>
      <c r="B198" s="15">
        <v>45504</v>
      </c>
      <c r="C198" s="14" t="s">
        <v>21</v>
      </c>
      <c r="D198" s="14" t="s">
        <v>28</v>
      </c>
      <c r="E198" s="14" t="s">
        <v>16</v>
      </c>
      <c r="F198" s="14" t="s">
        <v>64</v>
      </c>
      <c r="G198" s="14">
        <v>6</v>
      </c>
      <c r="H198" s="14">
        <v>316</v>
      </c>
      <c r="I198" s="14">
        <v>1896</v>
      </c>
      <c r="J198" s="14">
        <v>1458.22</v>
      </c>
      <c r="K198" s="14">
        <v>437.78</v>
      </c>
      <c r="L198" s="14" t="s">
        <v>18</v>
      </c>
      <c r="M198" s="14" t="s">
        <v>26</v>
      </c>
    </row>
    <row r="199" spans="1:13" x14ac:dyDescent="0.25">
      <c r="A199" s="14" t="s">
        <v>236</v>
      </c>
      <c r="B199" s="15">
        <v>45583</v>
      </c>
      <c r="C199" s="14" t="s">
        <v>14</v>
      </c>
      <c r="D199" s="14" t="s">
        <v>42</v>
      </c>
      <c r="E199" s="14" t="s">
        <v>16</v>
      </c>
      <c r="F199" s="14" t="s">
        <v>17</v>
      </c>
      <c r="G199" s="14">
        <v>3</v>
      </c>
      <c r="H199" s="14">
        <v>628</v>
      </c>
      <c r="I199" s="14">
        <v>1884</v>
      </c>
      <c r="J199" s="14">
        <v>1151.6400000000001</v>
      </c>
      <c r="K199" s="14">
        <v>732.36</v>
      </c>
      <c r="L199" s="14" t="s">
        <v>18</v>
      </c>
      <c r="M199" s="14" t="s">
        <v>30</v>
      </c>
    </row>
    <row r="200" spans="1:13" x14ac:dyDescent="0.25">
      <c r="A200" s="14" t="s">
        <v>237</v>
      </c>
      <c r="B200" s="15">
        <v>45386</v>
      </c>
      <c r="C200" s="14" t="s">
        <v>21</v>
      </c>
      <c r="D200" s="14" t="s">
        <v>28</v>
      </c>
      <c r="E200" s="14" t="s">
        <v>16</v>
      </c>
      <c r="F200" s="14" t="s">
        <v>17</v>
      </c>
      <c r="G200" s="14">
        <v>5</v>
      </c>
      <c r="H200" s="14">
        <v>416</v>
      </c>
      <c r="I200" s="14">
        <v>2080</v>
      </c>
      <c r="J200" s="14">
        <v>1507.67</v>
      </c>
      <c r="K200" s="14">
        <v>572.33000000000004</v>
      </c>
      <c r="L200" s="14" t="s">
        <v>18</v>
      </c>
      <c r="M200" s="14" t="s">
        <v>19</v>
      </c>
    </row>
    <row r="201" spans="1:13" x14ac:dyDescent="0.25">
      <c r="A201" s="14" t="s">
        <v>238</v>
      </c>
      <c r="B201" s="15">
        <v>45437</v>
      </c>
      <c r="C201" s="14" t="s">
        <v>38</v>
      </c>
      <c r="D201" s="14" t="s">
        <v>22</v>
      </c>
      <c r="E201" s="14" t="s">
        <v>16</v>
      </c>
      <c r="F201" s="14" t="s">
        <v>29</v>
      </c>
      <c r="G201" s="14">
        <v>10</v>
      </c>
      <c r="H201" s="14">
        <v>712</v>
      </c>
      <c r="I201" s="14">
        <v>7120</v>
      </c>
      <c r="J201" s="14">
        <v>4025.52</v>
      </c>
      <c r="K201" s="14">
        <v>3094.48</v>
      </c>
      <c r="L201" s="14" t="s">
        <v>18</v>
      </c>
      <c r="M201" s="14" t="s">
        <v>30</v>
      </c>
    </row>
    <row r="202" spans="1:13" x14ac:dyDescent="0.25">
      <c r="A202" s="14" t="s">
        <v>239</v>
      </c>
      <c r="B202" s="15">
        <v>45311</v>
      </c>
      <c r="C202" s="14" t="s">
        <v>21</v>
      </c>
      <c r="D202" s="14" t="s">
        <v>42</v>
      </c>
      <c r="E202" s="14" t="s">
        <v>34</v>
      </c>
      <c r="F202" s="14" t="s">
        <v>35</v>
      </c>
      <c r="G202" s="14">
        <v>10</v>
      </c>
      <c r="H202" s="14">
        <v>909</v>
      </c>
      <c r="I202" s="14">
        <v>9090</v>
      </c>
      <c r="J202" s="14">
        <v>6122.46</v>
      </c>
      <c r="K202" s="14">
        <v>2967.54</v>
      </c>
      <c r="L202" s="14" t="s">
        <v>18</v>
      </c>
      <c r="M202" s="14" t="s">
        <v>30</v>
      </c>
    </row>
    <row r="203" spans="1:13" x14ac:dyDescent="0.25">
      <c r="A203" s="14" t="s">
        <v>240</v>
      </c>
      <c r="B203" s="15">
        <v>45549</v>
      </c>
      <c r="C203" s="14" t="s">
        <v>38</v>
      </c>
      <c r="D203" s="14" t="s">
        <v>15</v>
      </c>
      <c r="E203" s="14" t="s">
        <v>23</v>
      </c>
      <c r="F203" s="14" t="s">
        <v>24</v>
      </c>
      <c r="G203" s="14">
        <v>5</v>
      </c>
      <c r="H203" s="14">
        <v>629</v>
      </c>
      <c r="I203" s="14">
        <v>3145</v>
      </c>
      <c r="J203" s="14">
        <v>2216.23</v>
      </c>
      <c r="K203" s="14">
        <v>928.77</v>
      </c>
      <c r="L203" s="14" t="s">
        <v>25</v>
      </c>
      <c r="M203" s="14" t="s">
        <v>26</v>
      </c>
    </row>
    <row r="204" spans="1:13" x14ac:dyDescent="0.25">
      <c r="A204" s="14" t="s">
        <v>241</v>
      </c>
      <c r="B204" s="15">
        <v>45293</v>
      </c>
      <c r="C204" s="14" t="s">
        <v>21</v>
      </c>
      <c r="D204" s="14" t="s">
        <v>28</v>
      </c>
      <c r="E204" s="14" t="s">
        <v>16</v>
      </c>
      <c r="F204" s="14" t="s">
        <v>29</v>
      </c>
      <c r="G204" s="14">
        <v>5</v>
      </c>
      <c r="H204" s="14">
        <v>229</v>
      </c>
      <c r="I204" s="14">
        <v>1145</v>
      </c>
      <c r="J204" s="14">
        <v>636.25</v>
      </c>
      <c r="K204" s="14">
        <v>508.75</v>
      </c>
      <c r="L204" s="14" t="s">
        <v>25</v>
      </c>
      <c r="M204" s="14" t="s">
        <v>44</v>
      </c>
    </row>
    <row r="205" spans="1:13" x14ac:dyDescent="0.25">
      <c r="A205" s="14" t="s">
        <v>242</v>
      </c>
      <c r="B205" s="15">
        <v>45313</v>
      </c>
      <c r="C205" s="14" t="s">
        <v>21</v>
      </c>
      <c r="D205" s="14" t="s">
        <v>28</v>
      </c>
      <c r="E205" s="14" t="s">
        <v>16</v>
      </c>
      <c r="F205" s="14" t="s">
        <v>29</v>
      </c>
      <c r="G205" s="14">
        <v>2</v>
      </c>
      <c r="H205" s="14">
        <v>496</v>
      </c>
      <c r="I205" s="14">
        <v>992</v>
      </c>
      <c r="J205" s="14">
        <v>651.21</v>
      </c>
      <c r="K205" s="14">
        <v>340.79</v>
      </c>
      <c r="L205" s="14" t="s">
        <v>18</v>
      </c>
      <c r="M205" s="14" t="s">
        <v>26</v>
      </c>
    </row>
    <row r="206" spans="1:13" x14ac:dyDescent="0.25">
      <c r="A206" s="14" t="s">
        <v>243</v>
      </c>
      <c r="B206" s="15">
        <v>45376</v>
      </c>
      <c r="C206" s="14" t="s">
        <v>21</v>
      </c>
      <c r="D206" s="14" t="s">
        <v>15</v>
      </c>
      <c r="E206" s="14" t="s">
        <v>34</v>
      </c>
      <c r="F206" s="14" t="s">
        <v>35</v>
      </c>
      <c r="G206" s="14">
        <v>2</v>
      </c>
      <c r="H206" s="14">
        <v>49</v>
      </c>
      <c r="I206" s="14">
        <v>98</v>
      </c>
      <c r="J206" s="14">
        <v>63.02</v>
      </c>
      <c r="K206" s="14">
        <v>34.979999999999997</v>
      </c>
      <c r="L206" s="14" t="s">
        <v>18</v>
      </c>
      <c r="M206" s="14" t="s">
        <v>44</v>
      </c>
    </row>
    <row r="207" spans="1:13" x14ac:dyDescent="0.25">
      <c r="A207" s="14" t="s">
        <v>244</v>
      </c>
      <c r="B207" s="15">
        <v>45300</v>
      </c>
      <c r="C207" s="14" t="s">
        <v>41</v>
      </c>
      <c r="D207" s="14" t="s">
        <v>42</v>
      </c>
      <c r="E207" s="14" t="s">
        <v>23</v>
      </c>
      <c r="F207" s="14" t="s">
        <v>24</v>
      </c>
      <c r="G207" s="14">
        <v>6</v>
      </c>
      <c r="H207" s="14">
        <v>609</v>
      </c>
      <c r="I207" s="14">
        <v>3654</v>
      </c>
      <c r="J207" s="14">
        <v>2297.9699999999998</v>
      </c>
      <c r="K207" s="14">
        <v>1356.03</v>
      </c>
      <c r="L207" s="14" t="s">
        <v>18</v>
      </c>
      <c r="M207" s="14" t="s">
        <v>30</v>
      </c>
    </row>
    <row r="208" spans="1:13" x14ac:dyDescent="0.25">
      <c r="A208" s="14" t="s">
        <v>245</v>
      </c>
      <c r="B208" s="15">
        <v>45358</v>
      </c>
      <c r="C208" s="14" t="s">
        <v>14</v>
      </c>
      <c r="D208" s="14" t="s">
        <v>22</v>
      </c>
      <c r="E208" s="14" t="s">
        <v>16</v>
      </c>
      <c r="F208" s="14" t="s">
        <v>64</v>
      </c>
      <c r="G208" s="14">
        <v>2</v>
      </c>
      <c r="H208" s="14">
        <v>91</v>
      </c>
      <c r="I208" s="14">
        <v>182</v>
      </c>
      <c r="J208" s="14">
        <v>143.62</v>
      </c>
      <c r="K208" s="14">
        <v>38.380000000000003</v>
      </c>
      <c r="L208" s="14" t="s">
        <v>18</v>
      </c>
      <c r="M208" s="14" t="s">
        <v>44</v>
      </c>
    </row>
    <row r="209" spans="1:13" x14ac:dyDescent="0.25">
      <c r="A209" s="14" t="s">
        <v>246</v>
      </c>
      <c r="B209" s="15">
        <v>45306</v>
      </c>
      <c r="C209" s="14" t="s">
        <v>14</v>
      </c>
      <c r="D209" s="14" t="s">
        <v>28</v>
      </c>
      <c r="E209" s="14" t="s">
        <v>16</v>
      </c>
      <c r="F209" s="14" t="s">
        <v>64</v>
      </c>
      <c r="G209" s="14">
        <v>1</v>
      </c>
      <c r="H209" s="14">
        <v>369</v>
      </c>
      <c r="I209" s="14">
        <v>369</v>
      </c>
      <c r="J209" s="14">
        <v>288.23</v>
      </c>
      <c r="K209" s="14">
        <v>80.77</v>
      </c>
      <c r="L209" s="14" t="s">
        <v>25</v>
      </c>
      <c r="M209" s="14" t="s">
        <v>26</v>
      </c>
    </row>
    <row r="210" spans="1:13" x14ac:dyDescent="0.25">
      <c r="A210" s="14" t="s">
        <v>247</v>
      </c>
      <c r="B210" s="15">
        <v>45565</v>
      </c>
      <c r="C210" s="14" t="s">
        <v>41</v>
      </c>
      <c r="D210" s="14" t="s">
        <v>42</v>
      </c>
      <c r="E210" s="14" t="s">
        <v>16</v>
      </c>
      <c r="F210" s="14" t="s">
        <v>29</v>
      </c>
      <c r="G210" s="14">
        <v>10</v>
      </c>
      <c r="H210" s="14">
        <v>827</v>
      </c>
      <c r="I210" s="14">
        <v>8270</v>
      </c>
      <c r="J210" s="14">
        <v>4201.05</v>
      </c>
      <c r="K210" s="14">
        <v>4068.95</v>
      </c>
      <c r="L210" s="14" t="s">
        <v>18</v>
      </c>
      <c r="M210" s="14" t="s">
        <v>30</v>
      </c>
    </row>
    <row r="211" spans="1:13" x14ac:dyDescent="0.25">
      <c r="A211" s="14" t="s">
        <v>248</v>
      </c>
      <c r="B211" s="15">
        <v>45490</v>
      </c>
      <c r="C211" s="14" t="s">
        <v>21</v>
      </c>
      <c r="D211" s="14" t="s">
        <v>42</v>
      </c>
      <c r="E211" s="14" t="s">
        <v>23</v>
      </c>
      <c r="F211" s="14" t="s">
        <v>24</v>
      </c>
      <c r="G211" s="14">
        <v>8</v>
      </c>
      <c r="H211" s="14">
        <v>366</v>
      </c>
      <c r="I211" s="14">
        <v>2928</v>
      </c>
      <c r="J211" s="14">
        <v>2008.33</v>
      </c>
      <c r="K211" s="14">
        <v>919.67</v>
      </c>
      <c r="L211" s="14" t="s">
        <v>25</v>
      </c>
      <c r="M211" s="14" t="s">
        <v>19</v>
      </c>
    </row>
    <row r="212" spans="1:13" x14ac:dyDescent="0.25">
      <c r="A212" s="14" t="s">
        <v>249</v>
      </c>
      <c r="B212" s="15">
        <v>45346</v>
      </c>
      <c r="C212" s="14" t="s">
        <v>38</v>
      </c>
      <c r="D212" s="14" t="s">
        <v>22</v>
      </c>
      <c r="E212" s="14" t="s">
        <v>16</v>
      </c>
      <c r="F212" s="14" t="s">
        <v>29</v>
      </c>
      <c r="G212" s="14">
        <v>4</v>
      </c>
      <c r="H212" s="14">
        <v>25</v>
      </c>
      <c r="I212" s="14">
        <v>100</v>
      </c>
      <c r="J212" s="14">
        <v>63.22</v>
      </c>
      <c r="K212" s="14">
        <v>36.78</v>
      </c>
      <c r="L212" s="14" t="s">
        <v>25</v>
      </c>
      <c r="M212" s="14" t="s">
        <v>30</v>
      </c>
    </row>
    <row r="213" spans="1:13" x14ac:dyDescent="0.25">
      <c r="A213" s="14" t="s">
        <v>250</v>
      </c>
      <c r="B213" s="15">
        <v>45482</v>
      </c>
      <c r="C213" s="14" t="s">
        <v>38</v>
      </c>
      <c r="D213" s="14" t="s">
        <v>42</v>
      </c>
      <c r="E213" s="14" t="s">
        <v>16</v>
      </c>
      <c r="F213" s="14" t="s">
        <v>17</v>
      </c>
      <c r="G213" s="14">
        <v>6</v>
      </c>
      <c r="H213" s="14">
        <v>841</v>
      </c>
      <c r="I213" s="14">
        <v>5046</v>
      </c>
      <c r="J213" s="14">
        <v>2558.2399999999998</v>
      </c>
      <c r="K213" s="14">
        <v>2487.7600000000002</v>
      </c>
      <c r="L213" s="14" t="s">
        <v>18</v>
      </c>
      <c r="M213" s="14" t="s">
        <v>30</v>
      </c>
    </row>
    <row r="214" spans="1:13" x14ac:dyDescent="0.25">
      <c r="A214" s="14" t="s">
        <v>251</v>
      </c>
      <c r="B214" s="15">
        <v>45549</v>
      </c>
      <c r="C214" s="14" t="s">
        <v>21</v>
      </c>
      <c r="D214" s="14" t="s">
        <v>22</v>
      </c>
      <c r="E214" s="14" t="s">
        <v>16</v>
      </c>
      <c r="F214" s="14" t="s">
        <v>17</v>
      </c>
      <c r="G214" s="14">
        <v>1</v>
      </c>
      <c r="H214" s="14">
        <v>217</v>
      </c>
      <c r="I214" s="14">
        <v>217</v>
      </c>
      <c r="J214" s="14">
        <v>129.99</v>
      </c>
      <c r="K214" s="14">
        <v>87.01</v>
      </c>
      <c r="L214" s="14" t="s">
        <v>18</v>
      </c>
      <c r="M214" s="14" t="s">
        <v>30</v>
      </c>
    </row>
    <row r="215" spans="1:13" x14ac:dyDescent="0.25">
      <c r="A215" s="14" t="s">
        <v>252</v>
      </c>
      <c r="B215" s="15">
        <v>45308</v>
      </c>
      <c r="C215" s="14" t="s">
        <v>41</v>
      </c>
      <c r="D215" s="14" t="s">
        <v>28</v>
      </c>
      <c r="E215" s="14" t="s">
        <v>34</v>
      </c>
      <c r="F215" s="14" t="s">
        <v>35</v>
      </c>
      <c r="G215" s="14">
        <v>4</v>
      </c>
      <c r="H215" s="14">
        <v>328</v>
      </c>
      <c r="I215" s="14">
        <v>1312</v>
      </c>
      <c r="J215" s="14">
        <v>771.26</v>
      </c>
      <c r="K215" s="14">
        <v>540.74</v>
      </c>
      <c r="L215" s="14" t="s">
        <v>25</v>
      </c>
      <c r="M215" s="14" t="s">
        <v>44</v>
      </c>
    </row>
    <row r="216" spans="1:13" x14ac:dyDescent="0.25">
      <c r="A216" s="14" t="s">
        <v>253</v>
      </c>
      <c r="B216" s="15">
        <v>45475</v>
      </c>
      <c r="C216" s="14" t="s">
        <v>14</v>
      </c>
      <c r="D216" s="14" t="s">
        <v>42</v>
      </c>
      <c r="E216" s="14" t="s">
        <v>16</v>
      </c>
      <c r="F216" s="14" t="s">
        <v>17</v>
      </c>
      <c r="G216" s="14">
        <v>2</v>
      </c>
      <c r="H216" s="14">
        <v>455</v>
      </c>
      <c r="I216" s="14">
        <v>910</v>
      </c>
      <c r="J216" s="14">
        <v>565.69000000000005</v>
      </c>
      <c r="K216" s="14">
        <v>344.31</v>
      </c>
      <c r="L216" s="14" t="s">
        <v>25</v>
      </c>
      <c r="M216" s="14" t="s">
        <v>26</v>
      </c>
    </row>
    <row r="217" spans="1:13" x14ac:dyDescent="0.25">
      <c r="A217" s="14" t="s">
        <v>254</v>
      </c>
      <c r="B217" s="15">
        <v>45482</v>
      </c>
      <c r="C217" s="14" t="s">
        <v>38</v>
      </c>
      <c r="D217" s="14" t="s">
        <v>42</v>
      </c>
      <c r="E217" s="14" t="s">
        <v>16</v>
      </c>
      <c r="F217" s="14" t="s">
        <v>64</v>
      </c>
      <c r="G217" s="14">
        <v>3</v>
      </c>
      <c r="H217" s="14">
        <v>933</v>
      </c>
      <c r="I217" s="14">
        <v>2799</v>
      </c>
      <c r="J217" s="14">
        <v>1609.94</v>
      </c>
      <c r="K217" s="14">
        <v>1189.06</v>
      </c>
      <c r="L217" s="14" t="s">
        <v>25</v>
      </c>
      <c r="M217" s="14" t="s">
        <v>19</v>
      </c>
    </row>
    <row r="218" spans="1:13" x14ac:dyDescent="0.25">
      <c r="A218" s="14" t="s">
        <v>255</v>
      </c>
      <c r="B218" s="15">
        <v>45591</v>
      </c>
      <c r="C218" s="14" t="s">
        <v>41</v>
      </c>
      <c r="D218" s="14" t="s">
        <v>15</v>
      </c>
      <c r="E218" s="14" t="s">
        <v>16</v>
      </c>
      <c r="F218" s="14" t="s">
        <v>17</v>
      </c>
      <c r="G218" s="14">
        <v>4</v>
      </c>
      <c r="H218" s="14">
        <v>559</v>
      </c>
      <c r="I218" s="14">
        <v>2236</v>
      </c>
      <c r="J218" s="14">
        <v>1723.97</v>
      </c>
      <c r="K218" s="14">
        <v>512.03</v>
      </c>
      <c r="L218" s="14" t="s">
        <v>18</v>
      </c>
      <c r="M218" s="14" t="s">
        <v>30</v>
      </c>
    </row>
    <row r="219" spans="1:13" x14ac:dyDescent="0.25">
      <c r="A219" s="14" t="s">
        <v>256</v>
      </c>
      <c r="B219" s="15">
        <v>45388</v>
      </c>
      <c r="C219" s="14" t="s">
        <v>38</v>
      </c>
      <c r="D219" s="14" t="s">
        <v>42</v>
      </c>
      <c r="E219" s="14" t="s">
        <v>23</v>
      </c>
      <c r="F219" s="14" t="s">
        <v>43</v>
      </c>
      <c r="G219" s="14">
        <v>7</v>
      </c>
      <c r="H219" s="14">
        <v>375</v>
      </c>
      <c r="I219" s="14">
        <v>2625</v>
      </c>
      <c r="J219" s="14">
        <v>1802.41</v>
      </c>
      <c r="K219" s="14">
        <v>822.59</v>
      </c>
      <c r="L219" s="14" t="s">
        <v>25</v>
      </c>
      <c r="M219" s="14" t="s">
        <v>44</v>
      </c>
    </row>
    <row r="220" spans="1:13" x14ac:dyDescent="0.25">
      <c r="A220" s="14" t="s">
        <v>257</v>
      </c>
      <c r="B220" s="15">
        <v>45381</v>
      </c>
      <c r="C220" s="14" t="s">
        <v>41</v>
      </c>
      <c r="D220" s="14" t="s">
        <v>28</v>
      </c>
      <c r="E220" s="14" t="s">
        <v>34</v>
      </c>
      <c r="F220" s="14" t="s">
        <v>35</v>
      </c>
      <c r="G220" s="14">
        <v>3</v>
      </c>
      <c r="H220" s="14">
        <v>638</v>
      </c>
      <c r="I220" s="14">
        <v>1914</v>
      </c>
      <c r="J220" s="14">
        <v>1323.07</v>
      </c>
      <c r="K220" s="14">
        <v>590.92999999999995</v>
      </c>
      <c r="L220" s="14" t="s">
        <v>25</v>
      </c>
      <c r="M220" s="14" t="s">
        <v>19</v>
      </c>
    </row>
    <row r="221" spans="1:13" x14ac:dyDescent="0.25">
      <c r="A221" s="14" t="s">
        <v>258</v>
      </c>
      <c r="B221" s="15">
        <v>45368</v>
      </c>
      <c r="C221" s="14" t="s">
        <v>21</v>
      </c>
      <c r="D221" s="14" t="s">
        <v>42</v>
      </c>
      <c r="E221" s="14" t="s">
        <v>16</v>
      </c>
      <c r="F221" s="14" t="s">
        <v>29</v>
      </c>
      <c r="G221" s="14">
        <v>8</v>
      </c>
      <c r="H221" s="14">
        <v>257</v>
      </c>
      <c r="I221" s="14">
        <v>2056</v>
      </c>
      <c r="J221" s="14">
        <v>1643.3</v>
      </c>
      <c r="K221" s="14">
        <v>412.7</v>
      </c>
      <c r="L221" s="14" t="s">
        <v>18</v>
      </c>
      <c r="M221" s="14" t="s">
        <v>30</v>
      </c>
    </row>
    <row r="222" spans="1:13" x14ac:dyDescent="0.25">
      <c r="A222" s="14" t="s">
        <v>259</v>
      </c>
      <c r="B222" s="15">
        <v>45303</v>
      </c>
      <c r="C222" s="14" t="s">
        <v>21</v>
      </c>
      <c r="D222" s="14" t="s">
        <v>22</v>
      </c>
      <c r="E222" s="14" t="s">
        <v>34</v>
      </c>
      <c r="F222" s="14" t="s">
        <v>47</v>
      </c>
      <c r="G222" s="14">
        <v>3</v>
      </c>
      <c r="H222" s="14">
        <v>125</v>
      </c>
      <c r="I222" s="14">
        <v>375</v>
      </c>
      <c r="J222" s="14">
        <v>202.13</v>
      </c>
      <c r="K222" s="14">
        <v>172.87</v>
      </c>
      <c r="L222" s="14" t="s">
        <v>18</v>
      </c>
      <c r="M222" s="14" t="s">
        <v>30</v>
      </c>
    </row>
    <row r="223" spans="1:13" x14ac:dyDescent="0.25">
      <c r="A223" s="14" t="s">
        <v>260</v>
      </c>
      <c r="B223" s="15">
        <v>45549</v>
      </c>
      <c r="C223" s="14" t="s">
        <v>41</v>
      </c>
      <c r="D223" s="14" t="s">
        <v>42</v>
      </c>
      <c r="E223" s="14" t="s">
        <v>34</v>
      </c>
      <c r="F223" s="14" t="s">
        <v>35</v>
      </c>
      <c r="G223" s="14">
        <v>2</v>
      </c>
      <c r="H223" s="14">
        <v>867</v>
      </c>
      <c r="I223" s="14">
        <v>1734</v>
      </c>
      <c r="J223" s="14">
        <v>1120.31</v>
      </c>
      <c r="K223" s="14">
        <v>613.69000000000005</v>
      </c>
      <c r="L223" s="14" t="s">
        <v>25</v>
      </c>
      <c r="M223" s="14" t="s">
        <v>44</v>
      </c>
    </row>
    <row r="224" spans="1:13" x14ac:dyDescent="0.25">
      <c r="A224" s="14" t="s">
        <v>261</v>
      </c>
      <c r="B224" s="15">
        <v>45495</v>
      </c>
      <c r="C224" s="14" t="s">
        <v>21</v>
      </c>
      <c r="D224" s="14" t="s">
        <v>15</v>
      </c>
      <c r="E224" s="14" t="s">
        <v>16</v>
      </c>
      <c r="F224" s="14" t="s">
        <v>64</v>
      </c>
      <c r="G224" s="14">
        <v>6</v>
      </c>
      <c r="H224" s="14">
        <v>712</v>
      </c>
      <c r="I224" s="14">
        <v>4272</v>
      </c>
      <c r="J224" s="14">
        <v>2953.49</v>
      </c>
      <c r="K224" s="14">
        <v>1318.51</v>
      </c>
      <c r="L224" s="14" t="s">
        <v>18</v>
      </c>
      <c r="M224" s="14" t="s">
        <v>26</v>
      </c>
    </row>
    <row r="225" spans="1:13" x14ac:dyDescent="0.25">
      <c r="A225" s="14" t="s">
        <v>262</v>
      </c>
      <c r="B225" s="15">
        <v>45464</v>
      </c>
      <c r="C225" s="14" t="s">
        <v>21</v>
      </c>
      <c r="D225" s="14" t="s">
        <v>15</v>
      </c>
      <c r="E225" s="14" t="s">
        <v>23</v>
      </c>
      <c r="F225" s="14" t="s">
        <v>39</v>
      </c>
      <c r="G225" s="14">
        <v>3</v>
      </c>
      <c r="H225" s="14">
        <v>371</v>
      </c>
      <c r="I225" s="14">
        <v>1113</v>
      </c>
      <c r="J225" s="14">
        <v>858.45</v>
      </c>
      <c r="K225" s="14">
        <v>254.55</v>
      </c>
      <c r="L225" s="14" t="s">
        <v>18</v>
      </c>
      <c r="M225" s="14" t="s">
        <v>19</v>
      </c>
    </row>
    <row r="226" spans="1:13" x14ac:dyDescent="0.25">
      <c r="A226" s="14" t="s">
        <v>263</v>
      </c>
      <c r="B226" s="15">
        <v>45470</v>
      </c>
      <c r="C226" s="14" t="s">
        <v>38</v>
      </c>
      <c r="D226" s="14" t="s">
        <v>15</v>
      </c>
      <c r="E226" s="14" t="s">
        <v>34</v>
      </c>
      <c r="F226" s="14" t="s">
        <v>35</v>
      </c>
      <c r="G226" s="14">
        <v>9</v>
      </c>
      <c r="H226" s="14">
        <v>984</v>
      </c>
      <c r="I226" s="14">
        <v>8856</v>
      </c>
      <c r="J226" s="14">
        <v>5786.36</v>
      </c>
      <c r="K226" s="14">
        <v>3069.64</v>
      </c>
      <c r="L226" s="14" t="s">
        <v>25</v>
      </c>
      <c r="M226" s="14" t="s">
        <v>26</v>
      </c>
    </row>
    <row r="227" spans="1:13" x14ac:dyDescent="0.25">
      <c r="A227" s="14" t="s">
        <v>264</v>
      </c>
      <c r="B227" s="15">
        <v>45408</v>
      </c>
      <c r="C227" s="14" t="s">
        <v>14</v>
      </c>
      <c r="D227" s="14" t="s">
        <v>15</v>
      </c>
      <c r="E227" s="14" t="s">
        <v>34</v>
      </c>
      <c r="F227" s="14" t="s">
        <v>47</v>
      </c>
      <c r="G227" s="14">
        <v>10</v>
      </c>
      <c r="H227" s="14">
        <v>536</v>
      </c>
      <c r="I227" s="14">
        <v>5360</v>
      </c>
      <c r="J227" s="14">
        <v>3366.6</v>
      </c>
      <c r="K227" s="14">
        <v>1993.4</v>
      </c>
      <c r="L227" s="14" t="s">
        <v>25</v>
      </c>
      <c r="M227" s="14" t="s">
        <v>30</v>
      </c>
    </row>
    <row r="228" spans="1:13" x14ac:dyDescent="0.25">
      <c r="A228" s="14" t="s">
        <v>265</v>
      </c>
      <c r="B228" s="15">
        <v>45491</v>
      </c>
      <c r="C228" s="14" t="s">
        <v>21</v>
      </c>
      <c r="D228" s="14" t="s">
        <v>42</v>
      </c>
      <c r="E228" s="14" t="s">
        <v>34</v>
      </c>
      <c r="F228" s="14" t="s">
        <v>35</v>
      </c>
      <c r="G228" s="14">
        <v>8</v>
      </c>
      <c r="H228" s="14">
        <v>548</v>
      </c>
      <c r="I228" s="14">
        <v>4384</v>
      </c>
      <c r="J228" s="14">
        <v>3156.97</v>
      </c>
      <c r="K228" s="14">
        <v>1227.03</v>
      </c>
      <c r="L228" s="14" t="s">
        <v>18</v>
      </c>
      <c r="M228" s="14" t="s">
        <v>30</v>
      </c>
    </row>
    <row r="229" spans="1:13" x14ac:dyDescent="0.25">
      <c r="A229" s="14" t="s">
        <v>266</v>
      </c>
      <c r="B229" s="15">
        <v>45352</v>
      </c>
      <c r="C229" s="14" t="s">
        <v>21</v>
      </c>
      <c r="D229" s="14" t="s">
        <v>28</v>
      </c>
      <c r="E229" s="14" t="s">
        <v>34</v>
      </c>
      <c r="F229" s="14" t="s">
        <v>47</v>
      </c>
      <c r="G229" s="14">
        <v>6</v>
      </c>
      <c r="H229" s="14">
        <v>690</v>
      </c>
      <c r="I229" s="14">
        <v>4140</v>
      </c>
      <c r="J229" s="14">
        <v>3275.65</v>
      </c>
      <c r="K229" s="14">
        <v>864.35</v>
      </c>
      <c r="L229" s="14" t="s">
        <v>18</v>
      </c>
      <c r="M229" s="14" t="s">
        <v>26</v>
      </c>
    </row>
    <row r="230" spans="1:13" x14ac:dyDescent="0.25">
      <c r="A230" s="14" t="s">
        <v>267</v>
      </c>
      <c r="B230" s="15">
        <v>45406</v>
      </c>
      <c r="C230" s="14" t="s">
        <v>14</v>
      </c>
      <c r="D230" s="14" t="s">
        <v>28</v>
      </c>
      <c r="E230" s="14" t="s">
        <v>16</v>
      </c>
      <c r="F230" s="14" t="s">
        <v>29</v>
      </c>
      <c r="G230" s="14">
        <v>10</v>
      </c>
      <c r="H230" s="14">
        <v>938</v>
      </c>
      <c r="I230" s="14">
        <v>9380</v>
      </c>
      <c r="J230" s="14">
        <v>5563.37</v>
      </c>
      <c r="K230" s="14">
        <v>3816.63</v>
      </c>
      <c r="L230" s="14" t="s">
        <v>25</v>
      </c>
      <c r="M230" s="14" t="s">
        <v>44</v>
      </c>
    </row>
    <row r="231" spans="1:13" x14ac:dyDescent="0.25">
      <c r="A231" s="14" t="s">
        <v>268</v>
      </c>
      <c r="B231" s="15">
        <v>45499</v>
      </c>
      <c r="C231" s="14" t="s">
        <v>14</v>
      </c>
      <c r="D231" s="14" t="s">
        <v>15</v>
      </c>
      <c r="E231" s="14" t="s">
        <v>34</v>
      </c>
      <c r="F231" s="14" t="s">
        <v>35</v>
      </c>
      <c r="G231" s="14">
        <v>2</v>
      </c>
      <c r="H231" s="14">
        <v>744</v>
      </c>
      <c r="I231" s="14">
        <v>1488</v>
      </c>
      <c r="J231" s="14">
        <v>1134.67</v>
      </c>
      <c r="K231" s="14">
        <v>353.33</v>
      </c>
      <c r="L231" s="14" t="s">
        <v>18</v>
      </c>
      <c r="M231" s="14" t="s">
        <v>19</v>
      </c>
    </row>
    <row r="232" spans="1:13" x14ac:dyDescent="0.25">
      <c r="A232" s="14" t="s">
        <v>269</v>
      </c>
      <c r="B232" s="15">
        <v>45379</v>
      </c>
      <c r="C232" s="14" t="s">
        <v>38</v>
      </c>
      <c r="D232" s="14" t="s">
        <v>42</v>
      </c>
      <c r="E232" s="14" t="s">
        <v>34</v>
      </c>
      <c r="F232" s="14" t="s">
        <v>47</v>
      </c>
      <c r="G232" s="14">
        <v>5</v>
      </c>
      <c r="H232" s="14">
        <v>578</v>
      </c>
      <c r="I232" s="14">
        <v>2890</v>
      </c>
      <c r="J232" s="14">
        <v>1608.26</v>
      </c>
      <c r="K232" s="14">
        <v>1281.74</v>
      </c>
      <c r="L232" s="14" t="s">
        <v>25</v>
      </c>
      <c r="M232" s="14" t="s">
        <v>44</v>
      </c>
    </row>
    <row r="233" spans="1:13" x14ac:dyDescent="0.25">
      <c r="A233" s="14" t="s">
        <v>270</v>
      </c>
      <c r="B233" s="15">
        <v>45532</v>
      </c>
      <c r="C233" s="14" t="s">
        <v>21</v>
      </c>
      <c r="D233" s="14" t="s">
        <v>28</v>
      </c>
      <c r="E233" s="14" t="s">
        <v>16</v>
      </c>
      <c r="F233" s="14" t="s">
        <v>64</v>
      </c>
      <c r="G233" s="14">
        <v>5</v>
      </c>
      <c r="H233" s="14">
        <v>248</v>
      </c>
      <c r="I233" s="14">
        <v>1240</v>
      </c>
      <c r="J233" s="14">
        <v>988.38</v>
      </c>
      <c r="K233" s="14">
        <v>251.62</v>
      </c>
      <c r="L233" s="14" t="s">
        <v>18</v>
      </c>
      <c r="M233" s="14" t="s">
        <v>26</v>
      </c>
    </row>
    <row r="234" spans="1:13" x14ac:dyDescent="0.25">
      <c r="A234" s="14" t="s">
        <v>271</v>
      </c>
      <c r="B234" s="15">
        <v>45511</v>
      </c>
      <c r="C234" s="14" t="s">
        <v>14</v>
      </c>
      <c r="D234" s="14" t="s">
        <v>42</v>
      </c>
      <c r="E234" s="14" t="s">
        <v>16</v>
      </c>
      <c r="F234" s="14" t="s">
        <v>29</v>
      </c>
      <c r="G234" s="14">
        <v>9</v>
      </c>
      <c r="H234" s="14">
        <v>480</v>
      </c>
      <c r="I234" s="14">
        <v>4320</v>
      </c>
      <c r="J234" s="14">
        <v>2927.03</v>
      </c>
      <c r="K234" s="14">
        <v>1392.97</v>
      </c>
      <c r="L234" s="14" t="s">
        <v>25</v>
      </c>
      <c r="M234" s="14" t="s">
        <v>26</v>
      </c>
    </row>
    <row r="235" spans="1:13" x14ac:dyDescent="0.25">
      <c r="A235" s="14" t="s">
        <v>272</v>
      </c>
      <c r="B235" s="15">
        <v>45367</v>
      </c>
      <c r="C235" s="14" t="s">
        <v>41</v>
      </c>
      <c r="D235" s="14" t="s">
        <v>28</v>
      </c>
      <c r="E235" s="14" t="s">
        <v>23</v>
      </c>
      <c r="F235" s="14" t="s">
        <v>39</v>
      </c>
      <c r="G235" s="14">
        <v>3</v>
      </c>
      <c r="H235" s="14">
        <v>963</v>
      </c>
      <c r="I235" s="14">
        <v>2889</v>
      </c>
      <c r="J235" s="14">
        <v>2097.5</v>
      </c>
      <c r="K235" s="14">
        <v>791.5</v>
      </c>
      <c r="L235" s="14" t="s">
        <v>25</v>
      </c>
      <c r="M235" s="14" t="s">
        <v>19</v>
      </c>
    </row>
    <row r="236" spans="1:13" x14ac:dyDescent="0.25">
      <c r="A236" s="14" t="s">
        <v>273</v>
      </c>
      <c r="B236" s="15">
        <v>45475</v>
      </c>
      <c r="C236" s="14" t="s">
        <v>21</v>
      </c>
      <c r="D236" s="14" t="s">
        <v>28</v>
      </c>
      <c r="E236" s="14" t="s">
        <v>34</v>
      </c>
      <c r="F236" s="14" t="s">
        <v>35</v>
      </c>
      <c r="G236" s="14">
        <v>10</v>
      </c>
      <c r="H236" s="14">
        <v>572</v>
      </c>
      <c r="I236" s="14">
        <v>5720</v>
      </c>
      <c r="J236" s="14">
        <v>4106.4799999999996</v>
      </c>
      <c r="K236" s="14">
        <v>1613.52</v>
      </c>
      <c r="L236" s="14" t="s">
        <v>18</v>
      </c>
      <c r="M236" s="14" t="s">
        <v>19</v>
      </c>
    </row>
    <row r="237" spans="1:13" x14ac:dyDescent="0.25">
      <c r="A237" s="14" t="s">
        <v>274</v>
      </c>
      <c r="B237" s="15">
        <v>45295</v>
      </c>
      <c r="C237" s="14" t="s">
        <v>14</v>
      </c>
      <c r="D237" s="14" t="s">
        <v>42</v>
      </c>
      <c r="E237" s="14" t="s">
        <v>16</v>
      </c>
      <c r="F237" s="14" t="s">
        <v>17</v>
      </c>
      <c r="G237" s="14">
        <v>7</v>
      </c>
      <c r="H237" s="14">
        <v>576</v>
      </c>
      <c r="I237" s="14">
        <v>4032</v>
      </c>
      <c r="J237" s="14">
        <v>2366.9</v>
      </c>
      <c r="K237" s="14">
        <v>1665.1</v>
      </c>
      <c r="L237" s="14" t="s">
        <v>18</v>
      </c>
      <c r="M237" s="14" t="s">
        <v>30</v>
      </c>
    </row>
    <row r="238" spans="1:13" x14ac:dyDescent="0.25">
      <c r="A238" s="14" t="s">
        <v>275</v>
      </c>
      <c r="B238" s="15">
        <v>45512</v>
      </c>
      <c r="C238" s="14" t="s">
        <v>38</v>
      </c>
      <c r="D238" s="14" t="s">
        <v>15</v>
      </c>
      <c r="E238" s="14" t="s">
        <v>23</v>
      </c>
      <c r="F238" s="14" t="s">
        <v>24</v>
      </c>
      <c r="G238" s="14">
        <v>5</v>
      </c>
      <c r="H238" s="14">
        <v>226</v>
      </c>
      <c r="I238" s="14">
        <v>1130</v>
      </c>
      <c r="J238" s="14">
        <v>793.99</v>
      </c>
      <c r="K238" s="14">
        <v>336.01</v>
      </c>
      <c r="L238" s="14" t="s">
        <v>18</v>
      </c>
      <c r="M238" s="14" t="s">
        <v>30</v>
      </c>
    </row>
    <row r="239" spans="1:13" x14ac:dyDescent="0.25">
      <c r="A239" s="14" t="s">
        <v>276</v>
      </c>
      <c r="B239" s="15">
        <v>45510</v>
      </c>
      <c r="C239" s="14" t="s">
        <v>41</v>
      </c>
      <c r="D239" s="14" t="s">
        <v>42</v>
      </c>
      <c r="E239" s="14" t="s">
        <v>23</v>
      </c>
      <c r="F239" s="14" t="s">
        <v>39</v>
      </c>
      <c r="G239" s="14">
        <v>8</v>
      </c>
      <c r="H239" s="14">
        <v>722</v>
      </c>
      <c r="I239" s="14">
        <v>5776</v>
      </c>
      <c r="J239" s="14">
        <v>4543.75</v>
      </c>
      <c r="K239" s="14">
        <v>1232.25</v>
      </c>
      <c r="L239" s="14" t="s">
        <v>25</v>
      </c>
      <c r="M239" s="14" t="s">
        <v>19</v>
      </c>
    </row>
    <row r="240" spans="1:13" x14ac:dyDescent="0.25">
      <c r="A240" s="14" t="s">
        <v>277</v>
      </c>
      <c r="B240" s="15">
        <v>45428</v>
      </c>
      <c r="C240" s="14" t="s">
        <v>14</v>
      </c>
      <c r="D240" s="14" t="s">
        <v>28</v>
      </c>
      <c r="E240" s="14" t="s">
        <v>16</v>
      </c>
      <c r="F240" s="14" t="s">
        <v>64</v>
      </c>
      <c r="G240" s="14">
        <v>5</v>
      </c>
      <c r="H240" s="14">
        <v>471</v>
      </c>
      <c r="I240" s="14">
        <v>2355</v>
      </c>
      <c r="J240" s="14">
        <v>1179.7</v>
      </c>
      <c r="K240" s="14">
        <v>1175.3</v>
      </c>
      <c r="L240" s="14" t="s">
        <v>25</v>
      </c>
      <c r="M240" s="14" t="s">
        <v>26</v>
      </c>
    </row>
    <row r="241" spans="1:13" x14ac:dyDescent="0.25">
      <c r="A241" s="14" t="s">
        <v>278</v>
      </c>
      <c r="B241" s="15">
        <v>45576</v>
      </c>
      <c r="C241" s="14" t="s">
        <v>21</v>
      </c>
      <c r="D241" s="14" t="s">
        <v>15</v>
      </c>
      <c r="E241" s="14" t="s">
        <v>34</v>
      </c>
      <c r="F241" s="14" t="s">
        <v>53</v>
      </c>
      <c r="G241" s="14">
        <v>9</v>
      </c>
      <c r="H241" s="14">
        <v>582</v>
      </c>
      <c r="I241" s="14">
        <v>5238</v>
      </c>
      <c r="J241" s="14">
        <v>3434.04</v>
      </c>
      <c r="K241" s="14">
        <v>1803.96</v>
      </c>
      <c r="L241" s="14" t="s">
        <v>25</v>
      </c>
      <c r="M241" s="14" t="s">
        <v>26</v>
      </c>
    </row>
    <row r="242" spans="1:13" x14ac:dyDescent="0.25">
      <c r="A242" s="14" t="s">
        <v>279</v>
      </c>
      <c r="B242" s="15">
        <v>45575</v>
      </c>
      <c r="C242" s="14" t="s">
        <v>14</v>
      </c>
      <c r="D242" s="14" t="s">
        <v>28</v>
      </c>
      <c r="E242" s="14" t="s">
        <v>16</v>
      </c>
      <c r="F242" s="14" t="s">
        <v>64</v>
      </c>
      <c r="G242" s="14">
        <v>9</v>
      </c>
      <c r="H242" s="14">
        <v>409</v>
      </c>
      <c r="I242" s="14">
        <v>3681</v>
      </c>
      <c r="J242" s="14">
        <v>1957.87</v>
      </c>
      <c r="K242" s="14">
        <v>1723.13</v>
      </c>
      <c r="L242" s="14" t="s">
        <v>25</v>
      </c>
      <c r="M242" s="14" t="s">
        <v>26</v>
      </c>
    </row>
    <row r="243" spans="1:13" x14ac:dyDescent="0.25">
      <c r="A243" s="14" t="s">
        <v>280</v>
      </c>
      <c r="B243" s="15">
        <v>45420</v>
      </c>
      <c r="C243" s="14" t="s">
        <v>14</v>
      </c>
      <c r="D243" s="14" t="s">
        <v>28</v>
      </c>
      <c r="E243" s="14" t="s">
        <v>34</v>
      </c>
      <c r="F243" s="14" t="s">
        <v>35</v>
      </c>
      <c r="G243" s="14">
        <v>3</v>
      </c>
      <c r="H243" s="14">
        <v>111</v>
      </c>
      <c r="I243" s="14">
        <v>333</v>
      </c>
      <c r="J243" s="14">
        <v>259.89999999999998</v>
      </c>
      <c r="K243" s="14">
        <v>73.099999999999994</v>
      </c>
      <c r="L243" s="14" t="s">
        <v>25</v>
      </c>
      <c r="M243" s="14" t="s">
        <v>19</v>
      </c>
    </row>
    <row r="244" spans="1:13" x14ac:dyDescent="0.25">
      <c r="A244" s="14" t="s">
        <v>281</v>
      </c>
      <c r="B244" s="15">
        <v>45355</v>
      </c>
      <c r="C244" s="14" t="s">
        <v>38</v>
      </c>
      <c r="D244" s="14" t="s">
        <v>28</v>
      </c>
      <c r="E244" s="14" t="s">
        <v>34</v>
      </c>
      <c r="F244" s="14" t="s">
        <v>53</v>
      </c>
      <c r="G244" s="14">
        <v>5</v>
      </c>
      <c r="H244" s="14">
        <v>1000</v>
      </c>
      <c r="I244" s="14">
        <v>5000</v>
      </c>
      <c r="J244" s="14">
        <v>3758.83</v>
      </c>
      <c r="K244" s="14">
        <v>1241.17</v>
      </c>
      <c r="L244" s="14" t="s">
        <v>18</v>
      </c>
      <c r="M244" s="14" t="s">
        <v>30</v>
      </c>
    </row>
    <row r="245" spans="1:13" x14ac:dyDescent="0.25">
      <c r="A245" s="14" t="s">
        <v>282</v>
      </c>
      <c r="B245" s="15">
        <v>45518</v>
      </c>
      <c r="C245" s="14" t="s">
        <v>41</v>
      </c>
      <c r="D245" s="14" t="s">
        <v>22</v>
      </c>
      <c r="E245" s="14" t="s">
        <v>34</v>
      </c>
      <c r="F245" s="14" t="s">
        <v>47</v>
      </c>
      <c r="G245" s="14">
        <v>9</v>
      </c>
      <c r="H245" s="14">
        <v>399</v>
      </c>
      <c r="I245" s="14">
        <v>3591</v>
      </c>
      <c r="J245" s="14">
        <v>2739.5</v>
      </c>
      <c r="K245" s="14">
        <v>851.5</v>
      </c>
      <c r="L245" s="14" t="s">
        <v>25</v>
      </c>
      <c r="M245" s="14" t="s">
        <v>30</v>
      </c>
    </row>
    <row r="246" spans="1:13" x14ac:dyDescent="0.25">
      <c r="A246" s="14" t="s">
        <v>283</v>
      </c>
      <c r="B246" s="15">
        <v>45457</v>
      </c>
      <c r="C246" s="14" t="s">
        <v>14</v>
      </c>
      <c r="D246" s="14" t="s">
        <v>22</v>
      </c>
      <c r="E246" s="14" t="s">
        <v>16</v>
      </c>
      <c r="F246" s="14" t="s">
        <v>17</v>
      </c>
      <c r="G246" s="14">
        <v>1</v>
      </c>
      <c r="H246" s="14">
        <v>877</v>
      </c>
      <c r="I246" s="14">
        <v>877</v>
      </c>
      <c r="J246" s="14">
        <v>470.66</v>
      </c>
      <c r="K246" s="14">
        <v>406.34</v>
      </c>
      <c r="L246" s="14" t="s">
        <v>18</v>
      </c>
      <c r="M246" s="14" t="s">
        <v>30</v>
      </c>
    </row>
    <row r="247" spans="1:13" x14ac:dyDescent="0.25">
      <c r="A247" s="14" t="s">
        <v>284</v>
      </c>
      <c r="B247" s="15">
        <v>45330</v>
      </c>
      <c r="C247" s="14" t="s">
        <v>41</v>
      </c>
      <c r="D247" s="14" t="s">
        <v>42</v>
      </c>
      <c r="E247" s="14" t="s">
        <v>23</v>
      </c>
      <c r="F247" s="14" t="s">
        <v>39</v>
      </c>
      <c r="G247" s="14">
        <v>6</v>
      </c>
      <c r="H247" s="14">
        <v>698</v>
      </c>
      <c r="I247" s="14">
        <v>4188</v>
      </c>
      <c r="J247" s="14">
        <v>3326.93</v>
      </c>
      <c r="K247" s="14">
        <v>861.07</v>
      </c>
      <c r="L247" s="14" t="s">
        <v>25</v>
      </c>
      <c r="M247" s="14" t="s">
        <v>30</v>
      </c>
    </row>
    <row r="248" spans="1:13" x14ac:dyDescent="0.25">
      <c r="A248" s="14" t="s">
        <v>285</v>
      </c>
      <c r="B248" s="15">
        <v>45528</v>
      </c>
      <c r="C248" s="14" t="s">
        <v>14</v>
      </c>
      <c r="D248" s="14" t="s">
        <v>22</v>
      </c>
      <c r="E248" s="14" t="s">
        <v>16</v>
      </c>
      <c r="F248" s="14" t="s">
        <v>29</v>
      </c>
      <c r="G248" s="14">
        <v>1</v>
      </c>
      <c r="H248" s="14">
        <v>369</v>
      </c>
      <c r="I248" s="14">
        <v>369</v>
      </c>
      <c r="J248" s="14">
        <v>200.31</v>
      </c>
      <c r="K248" s="14">
        <v>168.69</v>
      </c>
      <c r="L248" s="14" t="s">
        <v>25</v>
      </c>
      <c r="M248" s="14" t="s">
        <v>30</v>
      </c>
    </row>
    <row r="249" spans="1:13" x14ac:dyDescent="0.25">
      <c r="A249" s="14" t="s">
        <v>286</v>
      </c>
      <c r="B249" s="15">
        <v>45474</v>
      </c>
      <c r="C249" s="14" t="s">
        <v>21</v>
      </c>
      <c r="D249" s="14" t="s">
        <v>15</v>
      </c>
      <c r="E249" s="14" t="s">
        <v>23</v>
      </c>
      <c r="F249" s="14" t="s">
        <v>39</v>
      </c>
      <c r="G249" s="14">
        <v>8</v>
      </c>
      <c r="H249" s="14">
        <v>297</v>
      </c>
      <c r="I249" s="14">
        <v>2376</v>
      </c>
      <c r="J249" s="14">
        <v>1524.71</v>
      </c>
      <c r="K249" s="14">
        <v>851.29</v>
      </c>
      <c r="L249" s="14" t="s">
        <v>25</v>
      </c>
      <c r="M249" s="14" t="s">
        <v>19</v>
      </c>
    </row>
    <row r="250" spans="1:13" x14ac:dyDescent="0.25">
      <c r="A250" s="14" t="s">
        <v>287</v>
      </c>
      <c r="B250" s="15">
        <v>45332</v>
      </c>
      <c r="C250" s="14" t="s">
        <v>14</v>
      </c>
      <c r="D250" s="14" t="s">
        <v>15</v>
      </c>
      <c r="E250" s="14" t="s">
        <v>23</v>
      </c>
      <c r="F250" s="14" t="s">
        <v>43</v>
      </c>
      <c r="G250" s="14">
        <v>4</v>
      </c>
      <c r="H250" s="14">
        <v>259</v>
      </c>
      <c r="I250" s="14">
        <v>1036</v>
      </c>
      <c r="J250" s="14">
        <v>725.51</v>
      </c>
      <c r="K250" s="14">
        <v>310.49</v>
      </c>
      <c r="L250" s="14" t="s">
        <v>18</v>
      </c>
      <c r="M250" s="14" t="s">
        <v>26</v>
      </c>
    </row>
    <row r="251" spans="1:13" x14ac:dyDescent="0.25">
      <c r="A251" s="14" t="s">
        <v>288</v>
      </c>
      <c r="B251" s="15">
        <v>45466</v>
      </c>
      <c r="C251" s="14" t="s">
        <v>21</v>
      </c>
      <c r="D251" s="14" t="s">
        <v>22</v>
      </c>
      <c r="E251" s="14" t="s">
        <v>34</v>
      </c>
      <c r="F251" s="14" t="s">
        <v>35</v>
      </c>
      <c r="G251" s="14">
        <v>9</v>
      </c>
      <c r="H251" s="14">
        <v>473</v>
      </c>
      <c r="I251" s="14">
        <v>4257</v>
      </c>
      <c r="J251" s="14">
        <v>3242.55</v>
      </c>
      <c r="K251" s="14">
        <v>1014.45</v>
      </c>
      <c r="L251" s="14" t="s">
        <v>18</v>
      </c>
      <c r="M251" s="14" t="s">
        <v>30</v>
      </c>
    </row>
    <row r="252" spans="1:13" x14ac:dyDescent="0.25">
      <c r="A252" s="14" t="s">
        <v>289</v>
      </c>
      <c r="B252" s="15">
        <v>45517</v>
      </c>
      <c r="C252" s="14" t="s">
        <v>14</v>
      </c>
      <c r="D252" s="14" t="s">
        <v>42</v>
      </c>
      <c r="E252" s="14" t="s">
        <v>16</v>
      </c>
      <c r="F252" s="14" t="s">
        <v>64</v>
      </c>
      <c r="G252" s="14">
        <v>6</v>
      </c>
      <c r="H252" s="14">
        <v>868</v>
      </c>
      <c r="I252" s="14">
        <v>5208</v>
      </c>
      <c r="J252" s="14">
        <v>2998.67</v>
      </c>
      <c r="K252" s="14">
        <v>2209.33</v>
      </c>
      <c r="L252" s="14" t="s">
        <v>25</v>
      </c>
      <c r="M252" s="14" t="s">
        <v>30</v>
      </c>
    </row>
    <row r="253" spans="1:13" x14ac:dyDescent="0.25">
      <c r="A253" s="14" t="s">
        <v>290</v>
      </c>
      <c r="B253" s="15">
        <v>45582</v>
      </c>
      <c r="C253" s="14" t="s">
        <v>41</v>
      </c>
      <c r="D253" s="14" t="s">
        <v>15</v>
      </c>
      <c r="E253" s="14" t="s">
        <v>23</v>
      </c>
      <c r="F253" s="14" t="s">
        <v>43</v>
      </c>
      <c r="G253" s="14">
        <v>6</v>
      </c>
      <c r="H253" s="14">
        <v>203</v>
      </c>
      <c r="I253" s="14">
        <v>1218</v>
      </c>
      <c r="J253" s="14">
        <v>759.78</v>
      </c>
      <c r="K253" s="14">
        <v>458.22</v>
      </c>
      <c r="L253" s="14" t="s">
        <v>18</v>
      </c>
      <c r="M253" s="14" t="s">
        <v>26</v>
      </c>
    </row>
    <row r="254" spans="1:13" x14ac:dyDescent="0.25">
      <c r="A254" s="14" t="s">
        <v>291</v>
      </c>
      <c r="B254" s="15">
        <v>45438</v>
      </c>
      <c r="C254" s="14" t="s">
        <v>21</v>
      </c>
      <c r="D254" s="14" t="s">
        <v>22</v>
      </c>
      <c r="E254" s="14" t="s">
        <v>16</v>
      </c>
      <c r="F254" s="14" t="s">
        <v>17</v>
      </c>
      <c r="G254" s="14">
        <v>6</v>
      </c>
      <c r="H254" s="14">
        <v>436</v>
      </c>
      <c r="I254" s="14">
        <v>2616</v>
      </c>
      <c r="J254" s="14">
        <v>1665.13</v>
      </c>
      <c r="K254" s="14">
        <v>950.87</v>
      </c>
      <c r="L254" s="14" t="s">
        <v>25</v>
      </c>
      <c r="M254" s="14" t="s">
        <v>30</v>
      </c>
    </row>
    <row r="255" spans="1:13" x14ac:dyDescent="0.25">
      <c r="A255" s="14" t="s">
        <v>292</v>
      </c>
      <c r="B255" s="15">
        <v>45333</v>
      </c>
      <c r="C255" s="14" t="s">
        <v>21</v>
      </c>
      <c r="D255" s="14" t="s">
        <v>28</v>
      </c>
      <c r="E255" s="14" t="s">
        <v>34</v>
      </c>
      <c r="F255" s="14" t="s">
        <v>47</v>
      </c>
      <c r="G255" s="14">
        <v>2</v>
      </c>
      <c r="H255" s="14">
        <v>44</v>
      </c>
      <c r="I255" s="14">
        <v>88</v>
      </c>
      <c r="J255" s="14">
        <v>60.4</v>
      </c>
      <c r="K255" s="14">
        <v>27.6</v>
      </c>
      <c r="L255" s="14" t="s">
        <v>18</v>
      </c>
      <c r="M255" s="14" t="s">
        <v>30</v>
      </c>
    </row>
    <row r="256" spans="1:13" x14ac:dyDescent="0.25">
      <c r="A256" s="14" t="s">
        <v>293</v>
      </c>
      <c r="B256" s="15">
        <v>45351</v>
      </c>
      <c r="C256" s="14" t="s">
        <v>38</v>
      </c>
      <c r="D256" s="14" t="s">
        <v>22</v>
      </c>
      <c r="E256" s="14" t="s">
        <v>34</v>
      </c>
      <c r="F256" s="14" t="s">
        <v>35</v>
      </c>
      <c r="G256" s="14">
        <v>4</v>
      </c>
      <c r="H256" s="14">
        <v>615</v>
      </c>
      <c r="I256" s="14">
        <v>2460</v>
      </c>
      <c r="J256" s="14">
        <v>1393.12</v>
      </c>
      <c r="K256" s="14">
        <v>1066.8800000000001</v>
      </c>
      <c r="L256" s="14" t="s">
        <v>18</v>
      </c>
      <c r="M256" s="14" t="s">
        <v>30</v>
      </c>
    </row>
    <row r="257" spans="1:13" x14ac:dyDescent="0.25">
      <c r="A257" s="14" t="s">
        <v>294</v>
      </c>
      <c r="B257" s="15">
        <v>45381</v>
      </c>
      <c r="C257" s="14" t="s">
        <v>41</v>
      </c>
      <c r="D257" s="14" t="s">
        <v>28</v>
      </c>
      <c r="E257" s="14" t="s">
        <v>16</v>
      </c>
      <c r="F257" s="14" t="s">
        <v>17</v>
      </c>
      <c r="G257" s="14">
        <v>6</v>
      </c>
      <c r="H257" s="14">
        <v>314</v>
      </c>
      <c r="I257" s="14">
        <v>1884</v>
      </c>
      <c r="J257" s="14">
        <v>1477.29</v>
      </c>
      <c r="K257" s="14">
        <v>406.71</v>
      </c>
      <c r="L257" s="14" t="s">
        <v>18</v>
      </c>
      <c r="M257" s="14" t="s">
        <v>30</v>
      </c>
    </row>
    <row r="258" spans="1:13" x14ac:dyDescent="0.25">
      <c r="A258" s="14" t="s">
        <v>295</v>
      </c>
      <c r="B258" s="15">
        <v>45572</v>
      </c>
      <c r="C258" s="14" t="s">
        <v>38</v>
      </c>
      <c r="D258" s="14" t="s">
        <v>28</v>
      </c>
      <c r="E258" s="14" t="s">
        <v>16</v>
      </c>
      <c r="F258" s="14" t="s">
        <v>17</v>
      </c>
      <c r="G258" s="14">
        <v>2</v>
      </c>
      <c r="H258" s="14">
        <v>604</v>
      </c>
      <c r="I258" s="14">
        <v>1208</v>
      </c>
      <c r="J258" s="14">
        <v>886.84</v>
      </c>
      <c r="K258" s="14">
        <v>321.16000000000003</v>
      </c>
      <c r="L258" s="14" t="s">
        <v>25</v>
      </c>
      <c r="M258" s="14" t="s">
        <v>19</v>
      </c>
    </row>
    <row r="259" spans="1:13" x14ac:dyDescent="0.25">
      <c r="A259" s="14" t="s">
        <v>296</v>
      </c>
      <c r="B259" s="15">
        <v>45339</v>
      </c>
      <c r="C259" s="14" t="s">
        <v>21</v>
      </c>
      <c r="D259" s="14" t="s">
        <v>22</v>
      </c>
      <c r="E259" s="14" t="s">
        <v>23</v>
      </c>
      <c r="F259" s="14" t="s">
        <v>43</v>
      </c>
      <c r="G259" s="14">
        <v>4</v>
      </c>
      <c r="H259" s="14">
        <v>732</v>
      </c>
      <c r="I259" s="14">
        <v>2928</v>
      </c>
      <c r="J259" s="14">
        <v>1818.23</v>
      </c>
      <c r="K259" s="14">
        <v>1109.77</v>
      </c>
      <c r="L259" s="14" t="s">
        <v>25</v>
      </c>
      <c r="M259" s="14" t="s">
        <v>44</v>
      </c>
    </row>
    <row r="260" spans="1:13" x14ac:dyDescent="0.25">
      <c r="A260" s="14" t="s">
        <v>297</v>
      </c>
      <c r="B260" s="15">
        <v>45464</v>
      </c>
      <c r="C260" s="14" t="s">
        <v>14</v>
      </c>
      <c r="D260" s="14" t="s">
        <v>22</v>
      </c>
      <c r="E260" s="14" t="s">
        <v>34</v>
      </c>
      <c r="F260" s="14" t="s">
        <v>35</v>
      </c>
      <c r="G260" s="14">
        <v>6</v>
      </c>
      <c r="H260" s="14">
        <v>358</v>
      </c>
      <c r="I260" s="14">
        <v>2148</v>
      </c>
      <c r="J260" s="14">
        <v>1692.48</v>
      </c>
      <c r="K260" s="14">
        <v>455.52</v>
      </c>
      <c r="L260" s="14" t="s">
        <v>25</v>
      </c>
      <c r="M260" s="14" t="s">
        <v>19</v>
      </c>
    </row>
    <row r="261" spans="1:13" x14ac:dyDescent="0.25">
      <c r="A261" s="14" t="s">
        <v>298</v>
      </c>
      <c r="B261" s="15">
        <v>45305</v>
      </c>
      <c r="C261" s="14" t="s">
        <v>14</v>
      </c>
      <c r="D261" s="14" t="s">
        <v>22</v>
      </c>
      <c r="E261" s="14" t="s">
        <v>16</v>
      </c>
      <c r="F261" s="14" t="s">
        <v>64</v>
      </c>
      <c r="G261" s="14">
        <v>1</v>
      </c>
      <c r="H261" s="14">
        <v>588</v>
      </c>
      <c r="I261" s="14">
        <v>588</v>
      </c>
      <c r="J261" s="14">
        <v>338.78</v>
      </c>
      <c r="K261" s="14">
        <v>249.22</v>
      </c>
      <c r="L261" s="14" t="s">
        <v>18</v>
      </c>
      <c r="M261" s="14" t="s">
        <v>26</v>
      </c>
    </row>
    <row r="262" spans="1:13" x14ac:dyDescent="0.25">
      <c r="A262" s="14" t="s">
        <v>299</v>
      </c>
      <c r="B262" s="15">
        <v>45518</v>
      </c>
      <c r="C262" s="14" t="s">
        <v>38</v>
      </c>
      <c r="D262" s="14" t="s">
        <v>15</v>
      </c>
      <c r="E262" s="14" t="s">
        <v>16</v>
      </c>
      <c r="F262" s="14" t="s">
        <v>17</v>
      </c>
      <c r="G262" s="14">
        <v>10</v>
      </c>
      <c r="H262" s="14">
        <v>336</v>
      </c>
      <c r="I262" s="14">
        <v>3360</v>
      </c>
      <c r="J262" s="14">
        <v>2522.13</v>
      </c>
      <c r="K262" s="14">
        <v>837.87</v>
      </c>
      <c r="L262" s="14" t="s">
        <v>25</v>
      </c>
      <c r="M262" s="14" t="s">
        <v>26</v>
      </c>
    </row>
    <row r="263" spans="1:13" x14ac:dyDescent="0.25">
      <c r="A263" s="14" t="s">
        <v>300</v>
      </c>
      <c r="B263" s="15">
        <v>45319</v>
      </c>
      <c r="C263" s="14" t="s">
        <v>14</v>
      </c>
      <c r="D263" s="14" t="s">
        <v>42</v>
      </c>
      <c r="E263" s="14" t="s">
        <v>23</v>
      </c>
      <c r="F263" s="14" t="s">
        <v>43</v>
      </c>
      <c r="G263" s="14">
        <v>9</v>
      </c>
      <c r="H263" s="14">
        <v>650</v>
      </c>
      <c r="I263" s="14">
        <v>5850</v>
      </c>
      <c r="J263" s="14">
        <v>4602.82</v>
      </c>
      <c r="K263" s="14">
        <v>1247.18</v>
      </c>
      <c r="L263" s="14" t="s">
        <v>18</v>
      </c>
      <c r="M263" s="14" t="s">
        <v>44</v>
      </c>
    </row>
    <row r="264" spans="1:13" x14ac:dyDescent="0.25">
      <c r="A264" s="14" t="s">
        <v>301</v>
      </c>
      <c r="B264" s="15">
        <v>45393</v>
      </c>
      <c r="C264" s="14" t="s">
        <v>21</v>
      </c>
      <c r="D264" s="14" t="s">
        <v>42</v>
      </c>
      <c r="E264" s="14" t="s">
        <v>23</v>
      </c>
      <c r="F264" s="14" t="s">
        <v>43</v>
      </c>
      <c r="G264" s="14">
        <v>3</v>
      </c>
      <c r="H264" s="14">
        <v>158</v>
      </c>
      <c r="I264" s="14">
        <v>474</v>
      </c>
      <c r="J264" s="14">
        <v>348.74</v>
      </c>
      <c r="K264" s="14">
        <v>125.26</v>
      </c>
      <c r="L264" s="14" t="s">
        <v>18</v>
      </c>
      <c r="M264" s="14" t="s">
        <v>44</v>
      </c>
    </row>
    <row r="265" spans="1:13" x14ac:dyDescent="0.25">
      <c r="A265" s="14" t="s">
        <v>302</v>
      </c>
      <c r="B265" s="15">
        <v>45485</v>
      </c>
      <c r="C265" s="14" t="s">
        <v>14</v>
      </c>
      <c r="D265" s="14" t="s">
        <v>28</v>
      </c>
      <c r="E265" s="14" t="s">
        <v>23</v>
      </c>
      <c r="F265" s="14" t="s">
        <v>39</v>
      </c>
      <c r="G265" s="14">
        <v>3</v>
      </c>
      <c r="H265" s="14">
        <v>371</v>
      </c>
      <c r="I265" s="14">
        <v>1113</v>
      </c>
      <c r="J265" s="14">
        <v>660.04</v>
      </c>
      <c r="K265" s="14">
        <v>452.96</v>
      </c>
      <c r="L265" s="14" t="s">
        <v>25</v>
      </c>
      <c r="M265" s="14" t="s">
        <v>44</v>
      </c>
    </row>
    <row r="266" spans="1:13" x14ac:dyDescent="0.25">
      <c r="A266" s="14" t="s">
        <v>303</v>
      </c>
      <c r="B266" s="15">
        <v>45298</v>
      </c>
      <c r="C266" s="14" t="s">
        <v>14</v>
      </c>
      <c r="D266" s="14" t="s">
        <v>22</v>
      </c>
      <c r="E266" s="14" t="s">
        <v>16</v>
      </c>
      <c r="F266" s="14" t="s">
        <v>64</v>
      </c>
      <c r="G266" s="14">
        <v>5</v>
      </c>
      <c r="H266" s="14">
        <v>89</v>
      </c>
      <c r="I266" s="14">
        <v>445</v>
      </c>
      <c r="J266" s="14">
        <v>224.99</v>
      </c>
      <c r="K266" s="14">
        <v>220.01</v>
      </c>
      <c r="L266" s="14" t="s">
        <v>18</v>
      </c>
      <c r="M266" s="14" t="s">
        <v>26</v>
      </c>
    </row>
    <row r="267" spans="1:13" x14ac:dyDescent="0.25">
      <c r="A267" s="14" t="s">
        <v>304</v>
      </c>
      <c r="B267" s="15">
        <v>45365</v>
      </c>
      <c r="C267" s="14" t="s">
        <v>38</v>
      </c>
      <c r="D267" s="14" t="s">
        <v>22</v>
      </c>
      <c r="E267" s="14" t="s">
        <v>16</v>
      </c>
      <c r="F267" s="14" t="s">
        <v>64</v>
      </c>
      <c r="G267" s="14">
        <v>6</v>
      </c>
      <c r="H267" s="14">
        <v>297</v>
      </c>
      <c r="I267" s="14">
        <v>1782</v>
      </c>
      <c r="J267" s="14">
        <v>1319.61</v>
      </c>
      <c r="K267" s="14">
        <v>462.39</v>
      </c>
      <c r="L267" s="14" t="s">
        <v>25</v>
      </c>
      <c r="M267" s="14" t="s">
        <v>19</v>
      </c>
    </row>
    <row r="268" spans="1:13" x14ac:dyDescent="0.25">
      <c r="A268" s="14" t="s">
        <v>305</v>
      </c>
      <c r="B268" s="15">
        <v>45578</v>
      </c>
      <c r="C268" s="14" t="s">
        <v>14</v>
      </c>
      <c r="D268" s="14" t="s">
        <v>28</v>
      </c>
      <c r="E268" s="14" t="s">
        <v>34</v>
      </c>
      <c r="F268" s="14" t="s">
        <v>47</v>
      </c>
      <c r="G268" s="14">
        <v>1</v>
      </c>
      <c r="H268" s="14">
        <v>155</v>
      </c>
      <c r="I268" s="14">
        <v>155</v>
      </c>
      <c r="J268" s="14">
        <v>94.52</v>
      </c>
      <c r="K268" s="14">
        <v>60.48</v>
      </c>
      <c r="L268" s="14" t="s">
        <v>25</v>
      </c>
      <c r="M268" s="14" t="s">
        <v>19</v>
      </c>
    </row>
    <row r="269" spans="1:13" x14ac:dyDescent="0.25">
      <c r="A269" s="14" t="s">
        <v>306</v>
      </c>
      <c r="B269" s="15">
        <v>45374</v>
      </c>
      <c r="C269" s="14" t="s">
        <v>41</v>
      </c>
      <c r="D269" s="14" t="s">
        <v>22</v>
      </c>
      <c r="E269" s="14" t="s">
        <v>34</v>
      </c>
      <c r="F269" s="14" t="s">
        <v>53</v>
      </c>
      <c r="G269" s="14">
        <v>5</v>
      </c>
      <c r="H269" s="14">
        <v>785</v>
      </c>
      <c r="I269" s="14">
        <v>3925</v>
      </c>
      <c r="J269" s="14">
        <v>2041.46</v>
      </c>
      <c r="K269" s="14">
        <v>1883.54</v>
      </c>
      <c r="L269" s="14" t="s">
        <v>25</v>
      </c>
      <c r="M269" s="14" t="s">
        <v>44</v>
      </c>
    </row>
    <row r="270" spans="1:13" x14ac:dyDescent="0.25">
      <c r="A270" s="14" t="s">
        <v>307</v>
      </c>
      <c r="B270" s="15">
        <v>45525</v>
      </c>
      <c r="C270" s="14" t="s">
        <v>41</v>
      </c>
      <c r="D270" s="14" t="s">
        <v>22</v>
      </c>
      <c r="E270" s="14" t="s">
        <v>16</v>
      </c>
      <c r="F270" s="14" t="s">
        <v>17</v>
      </c>
      <c r="G270" s="14">
        <v>3</v>
      </c>
      <c r="H270" s="14">
        <v>472</v>
      </c>
      <c r="I270" s="14">
        <v>1416</v>
      </c>
      <c r="J270" s="14">
        <v>1103.6400000000001</v>
      </c>
      <c r="K270" s="14">
        <v>312.36</v>
      </c>
      <c r="L270" s="14" t="s">
        <v>25</v>
      </c>
      <c r="M270" s="14" t="s">
        <v>19</v>
      </c>
    </row>
    <row r="271" spans="1:13" x14ac:dyDescent="0.25">
      <c r="A271" s="14" t="s">
        <v>308</v>
      </c>
      <c r="B271" s="15">
        <v>45458</v>
      </c>
      <c r="C271" s="14" t="s">
        <v>21</v>
      </c>
      <c r="D271" s="14" t="s">
        <v>22</v>
      </c>
      <c r="E271" s="14" t="s">
        <v>16</v>
      </c>
      <c r="F271" s="14" t="s">
        <v>29</v>
      </c>
      <c r="G271" s="14">
        <v>1</v>
      </c>
      <c r="H271" s="14">
        <v>990</v>
      </c>
      <c r="I271" s="14">
        <v>990</v>
      </c>
      <c r="J271" s="14">
        <v>696.1</v>
      </c>
      <c r="K271" s="14">
        <v>293.89999999999998</v>
      </c>
      <c r="L271" s="14" t="s">
        <v>18</v>
      </c>
      <c r="M271" s="14" t="s">
        <v>30</v>
      </c>
    </row>
    <row r="272" spans="1:13" x14ac:dyDescent="0.25">
      <c r="A272" s="14" t="s">
        <v>309</v>
      </c>
      <c r="B272" s="15">
        <v>45408</v>
      </c>
      <c r="C272" s="14" t="s">
        <v>14</v>
      </c>
      <c r="D272" s="14" t="s">
        <v>42</v>
      </c>
      <c r="E272" s="14" t="s">
        <v>23</v>
      </c>
      <c r="F272" s="14" t="s">
        <v>39</v>
      </c>
      <c r="G272" s="14">
        <v>3</v>
      </c>
      <c r="H272" s="14">
        <v>788</v>
      </c>
      <c r="I272" s="14">
        <v>2364</v>
      </c>
      <c r="J272" s="14">
        <v>1450.75</v>
      </c>
      <c r="K272" s="14">
        <v>913.25</v>
      </c>
      <c r="L272" s="14" t="s">
        <v>25</v>
      </c>
      <c r="M272" s="14" t="s">
        <v>19</v>
      </c>
    </row>
    <row r="273" spans="1:13" x14ac:dyDescent="0.25">
      <c r="A273" s="14" t="s">
        <v>310</v>
      </c>
      <c r="B273" s="15">
        <v>45311</v>
      </c>
      <c r="C273" s="14" t="s">
        <v>38</v>
      </c>
      <c r="D273" s="14" t="s">
        <v>22</v>
      </c>
      <c r="E273" s="14" t="s">
        <v>34</v>
      </c>
      <c r="F273" s="14" t="s">
        <v>47</v>
      </c>
      <c r="G273" s="14">
        <v>8</v>
      </c>
      <c r="H273" s="14">
        <v>830</v>
      </c>
      <c r="I273" s="14">
        <v>6640</v>
      </c>
      <c r="J273" s="14">
        <v>4541.7700000000004</v>
      </c>
      <c r="K273" s="14">
        <v>2098.23</v>
      </c>
      <c r="L273" s="14" t="s">
        <v>18</v>
      </c>
      <c r="M273" s="14" t="s">
        <v>19</v>
      </c>
    </row>
    <row r="274" spans="1:13" x14ac:dyDescent="0.25">
      <c r="A274" s="14" t="s">
        <v>311</v>
      </c>
      <c r="B274" s="15">
        <v>45302</v>
      </c>
      <c r="C274" s="14" t="s">
        <v>14</v>
      </c>
      <c r="D274" s="14" t="s">
        <v>28</v>
      </c>
      <c r="E274" s="14" t="s">
        <v>16</v>
      </c>
      <c r="F274" s="14" t="s">
        <v>64</v>
      </c>
      <c r="G274" s="14">
        <v>1</v>
      </c>
      <c r="H274" s="14">
        <v>758</v>
      </c>
      <c r="I274" s="14">
        <v>758</v>
      </c>
      <c r="J274" s="14">
        <v>562.86</v>
      </c>
      <c r="K274" s="14">
        <v>195.14</v>
      </c>
      <c r="L274" s="14" t="s">
        <v>25</v>
      </c>
      <c r="M274" s="14" t="s">
        <v>26</v>
      </c>
    </row>
    <row r="275" spans="1:13" x14ac:dyDescent="0.25">
      <c r="A275" s="14" t="s">
        <v>312</v>
      </c>
      <c r="B275" s="15">
        <v>45447</v>
      </c>
      <c r="C275" s="14" t="s">
        <v>21</v>
      </c>
      <c r="D275" s="14" t="s">
        <v>42</v>
      </c>
      <c r="E275" s="14" t="s">
        <v>16</v>
      </c>
      <c r="F275" s="14" t="s">
        <v>29</v>
      </c>
      <c r="G275" s="14">
        <v>3</v>
      </c>
      <c r="H275" s="14">
        <v>490</v>
      </c>
      <c r="I275" s="14">
        <v>1470</v>
      </c>
      <c r="J275" s="14">
        <v>1095.97</v>
      </c>
      <c r="K275" s="14">
        <v>374.03</v>
      </c>
      <c r="L275" s="14" t="s">
        <v>25</v>
      </c>
      <c r="M275" s="14" t="s">
        <v>44</v>
      </c>
    </row>
    <row r="276" spans="1:13" x14ac:dyDescent="0.25">
      <c r="A276" s="14" t="s">
        <v>313</v>
      </c>
      <c r="B276" s="15">
        <v>45558</v>
      </c>
      <c r="C276" s="14" t="s">
        <v>38</v>
      </c>
      <c r="D276" s="14" t="s">
        <v>22</v>
      </c>
      <c r="E276" s="14" t="s">
        <v>34</v>
      </c>
      <c r="F276" s="14" t="s">
        <v>47</v>
      </c>
      <c r="G276" s="14">
        <v>2</v>
      </c>
      <c r="H276" s="14">
        <v>406</v>
      </c>
      <c r="I276" s="14">
        <v>812</v>
      </c>
      <c r="J276" s="14">
        <v>601.76</v>
      </c>
      <c r="K276" s="14">
        <v>210.24</v>
      </c>
      <c r="L276" s="14" t="s">
        <v>18</v>
      </c>
      <c r="M276" s="14" t="s">
        <v>30</v>
      </c>
    </row>
    <row r="277" spans="1:13" x14ac:dyDescent="0.25">
      <c r="A277" s="14" t="s">
        <v>314</v>
      </c>
      <c r="B277" s="15">
        <v>45319</v>
      </c>
      <c r="C277" s="14" t="s">
        <v>14</v>
      </c>
      <c r="D277" s="14" t="s">
        <v>28</v>
      </c>
      <c r="E277" s="14" t="s">
        <v>23</v>
      </c>
      <c r="F277" s="14" t="s">
        <v>39</v>
      </c>
      <c r="G277" s="14">
        <v>3</v>
      </c>
      <c r="H277" s="14">
        <v>785</v>
      </c>
      <c r="I277" s="14">
        <v>2355</v>
      </c>
      <c r="J277" s="14">
        <v>1727.93</v>
      </c>
      <c r="K277" s="14">
        <v>627.07000000000005</v>
      </c>
      <c r="L277" s="14" t="s">
        <v>25</v>
      </c>
      <c r="M277" s="14" t="s">
        <v>30</v>
      </c>
    </row>
    <row r="278" spans="1:13" x14ac:dyDescent="0.25">
      <c r="A278" s="14" t="s">
        <v>315</v>
      </c>
      <c r="B278" s="15">
        <v>45518</v>
      </c>
      <c r="C278" s="14" t="s">
        <v>41</v>
      </c>
      <c r="D278" s="14" t="s">
        <v>28</v>
      </c>
      <c r="E278" s="14" t="s">
        <v>16</v>
      </c>
      <c r="F278" s="14" t="s">
        <v>29</v>
      </c>
      <c r="G278" s="14">
        <v>10</v>
      </c>
      <c r="H278" s="14">
        <v>940</v>
      </c>
      <c r="I278" s="14">
        <v>9400</v>
      </c>
      <c r="J278" s="14">
        <v>5050.26</v>
      </c>
      <c r="K278" s="14">
        <v>4349.74</v>
      </c>
      <c r="L278" s="14" t="s">
        <v>18</v>
      </c>
      <c r="M278" s="14" t="s">
        <v>30</v>
      </c>
    </row>
    <row r="279" spans="1:13" x14ac:dyDescent="0.25">
      <c r="A279" s="14" t="s">
        <v>316</v>
      </c>
      <c r="B279" s="15">
        <v>45474</v>
      </c>
      <c r="C279" s="14" t="s">
        <v>38</v>
      </c>
      <c r="D279" s="14" t="s">
        <v>15</v>
      </c>
      <c r="E279" s="14" t="s">
        <v>23</v>
      </c>
      <c r="F279" s="14" t="s">
        <v>43</v>
      </c>
      <c r="G279" s="14">
        <v>8</v>
      </c>
      <c r="H279" s="14">
        <v>768</v>
      </c>
      <c r="I279" s="14">
        <v>6144</v>
      </c>
      <c r="J279" s="14">
        <v>4749.3599999999997</v>
      </c>
      <c r="K279" s="14">
        <v>1394.64</v>
      </c>
      <c r="L279" s="14" t="s">
        <v>18</v>
      </c>
      <c r="M279" s="14" t="s">
        <v>26</v>
      </c>
    </row>
    <row r="280" spans="1:13" x14ac:dyDescent="0.25">
      <c r="A280" s="14" t="s">
        <v>317</v>
      </c>
      <c r="B280" s="15">
        <v>45357</v>
      </c>
      <c r="C280" s="14" t="s">
        <v>38</v>
      </c>
      <c r="D280" s="14" t="s">
        <v>42</v>
      </c>
      <c r="E280" s="14" t="s">
        <v>16</v>
      </c>
      <c r="F280" s="14" t="s">
        <v>17</v>
      </c>
      <c r="G280" s="14">
        <v>8</v>
      </c>
      <c r="H280" s="14">
        <v>104</v>
      </c>
      <c r="I280" s="14">
        <v>832</v>
      </c>
      <c r="J280" s="14">
        <v>450.48</v>
      </c>
      <c r="K280" s="14">
        <v>381.52</v>
      </c>
      <c r="L280" s="14" t="s">
        <v>25</v>
      </c>
      <c r="M280" s="14" t="s">
        <v>30</v>
      </c>
    </row>
    <row r="281" spans="1:13" x14ac:dyDescent="0.25">
      <c r="A281" s="14" t="s">
        <v>318</v>
      </c>
      <c r="B281" s="15">
        <v>45467</v>
      </c>
      <c r="C281" s="14" t="s">
        <v>41</v>
      </c>
      <c r="D281" s="14" t="s">
        <v>15</v>
      </c>
      <c r="E281" s="14" t="s">
        <v>34</v>
      </c>
      <c r="F281" s="14" t="s">
        <v>53</v>
      </c>
      <c r="G281" s="14">
        <v>8</v>
      </c>
      <c r="H281" s="14">
        <v>455</v>
      </c>
      <c r="I281" s="14">
        <v>3640</v>
      </c>
      <c r="J281" s="14">
        <v>1903.48</v>
      </c>
      <c r="K281" s="14">
        <v>1736.52</v>
      </c>
      <c r="L281" s="14" t="s">
        <v>18</v>
      </c>
      <c r="M281" s="14" t="s">
        <v>44</v>
      </c>
    </row>
    <row r="282" spans="1:13" x14ac:dyDescent="0.25">
      <c r="A282" s="14" t="s">
        <v>319</v>
      </c>
      <c r="B282" s="15">
        <v>45450</v>
      </c>
      <c r="C282" s="14" t="s">
        <v>41</v>
      </c>
      <c r="D282" s="14" t="s">
        <v>15</v>
      </c>
      <c r="E282" s="14" t="s">
        <v>16</v>
      </c>
      <c r="F282" s="14" t="s">
        <v>64</v>
      </c>
      <c r="G282" s="14">
        <v>6</v>
      </c>
      <c r="H282" s="14">
        <v>960</v>
      </c>
      <c r="I282" s="14">
        <v>5760</v>
      </c>
      <c r="J282" s="14">
        <v>4208.3999999999996</v>
      </c>
      <c r="K282" s="14">
        <v>1551.6</v>
      </c>
      <c r="L282" s="14" t="s">
        <v>18</v>
      </c>
      <c r="M282" s="14" t="s">
        <v>19</v>
      </c>
    </row>
    <row r="283" spans="1:13" x14ac:dyDescent="0.25">
      <c r="A283" s="14" t="s">
        <v>320</v>
      </c>
      <c r="B283" s="15">
        <v>45417</v>
      </c>
      <c r="C283" s="14" t="s">
        <v>41</v>
      </c>
      <c r="D283" s="14" t="s">
        <v>15</v>
      </c>
      <c r="E283" s="14" t="s">
        <v>34</v>
      </c>
      <c r="F283" s="14" t="s">
        <v>47</v>
      </c>
      <c r="G283" s="14">
        <v>6</v>
      </c>
      <c r="H283" s="14">
        <v>918</v>
      </c>
      <c r="I283" s="14">
        <v>5508</v>
      </c>
      <c r="J283" s="14">
        <v>3934.08</v>
      </c>
      <c r="K283" s="14">
        <v>1573.92</v>
      </c>
      <c r="L283" s="14" t="s">
        <v>25</v>
      </c>
      <c r="M283" s="14" t="s">
        <v>19</v>
      </c>
    </row>
    <row r="284" spans="1:13" x14ac:dyDescent="0.25">
      <c r="A284" s="14" t="s">
        <v>321</v>
      </c>
      <c r="B284" s="15">
        <v>45364</v>
      </c>
      <c r="C284" s="14" t="s">
        <v>21</v>
      </c>
      <c r="D284" s="14" t="s">
        <v>22</v>
      </c>
      <c r="E284" s="14" t="s">
        <v>34</v>
      </c>
      <c r="F284" s="14" t="s">
        <v>53</v>
      </c>
      <c r="G284" s="14">
        <v>4</v>
      </c>
      <c r="H284" s="14">
        <v>949</v>
      </c>
      <c r="I284" s="14">
        <v>3796</v>
      </c>
      <c r="J284" s="14">
        <v>2186.69</v>
      </c>
      <c r="K284" s="14">
        <v>1609.31</v>
      </c>
      <c r="L284" s="14" t="s">
        <v>18</v>
      </c>
      <c r="M284" s="14" t="s">
        <v>30</v>
      </c>
    </row>
    <row r="285" spans="1:13" x14ac:dyDescent="0.25">
      <c r="A285" s="14" t="s">
        <v>322</v>
      </c>
      <c r="B285" s="15">
        <v>45334</v>
      </c>
      <c r="C285" s="14" t="s">
        <v>21</v>
      </c>
      <c r="D285" s="14" t="s">
        <v>28</v>
      </c>
      <c r="E285" s="14" t="s">
        <v>23</v>
      </c>
      <c r="F285" s="14" t="s">
        <v>24</v>
      </c>
      <c r="G285" s="14">
        <v>4</v>
      </c>
      <c r="H285" s="14">
        <v>674</v>
      </c>
      <c r="I285" s="14">
        <v>2696</v>
      </c>
      <c r="J285" s="14">
        <v>1473.93</v>
      </c>
      <c r="K285" s="14">
        <v>1222.07</v>
      </c>
      <c r="L285" s="14" t="s">
        <v>25</v>
      </c>
      <c r="M285" s="14" t="s">
        <v>44</v>
      </c>
    </row>
    <row r="286" spans="1:13" x14ac:dyDescent="0.25">
      <c r="A286" s="14" t="s">
        <v>323</v>
      </c>
      <c r="B286" s="15">
        <v>45462</v>
      </c>
      <c r="C286" s="14" t="s">
        <v>14</v>
      </c>
      <c r="D286" s="14" t="s">
        <v>28</v>
      </c>
      <c r="E286" s="14" t="s">
        <v>23</v>
      </c>
      <c r="F286" s="14" t="s">
        <v>39</v>
      </c>
      <c r="G286" s="14">
        <v>4</v>
      </c>
      <c r="H286" s="14">
        <v>118</v>
      </c>
      <c r="I286" s="14">
        <v>472</v>
      </c>
      <c r="J286" s="14">
        <v>250.25</v>
      </c>
      <c r="K286" s="14">
        <v>221.75</v>
      </c>
      <c r="L286" s="14" t="s">
        <v>18</v>
      </c>
      <c r="M286" s="14" t="s">
        <v>44</v>
      </c>
    </row>
    <row r="287" spans="1:13" x14ac:dyDescent="0.25">
      <c r="A287" s="14" t="s">
        <v>324</v>
      </c>
      <c r="B287" s="15">
        <v>45371</v>
      </c>
      <c r="C287" s="14" t="s">
        <v>41</v>
      </c>
      <c r="D287" s="14" t="s">
        <v>15</v>
      </c>
      <c r="E287" s="14" t="s">
        <v>34</v>
      </c>
      <c r="F287" s="14" t="s">
        <v>53</v>
      </c>
      <c r="G287" s="14">
        <v>5</v>
      </c>
      <c r="H287" s="14">
        <v>251</v>
      </c>
      <c r="I287" s="14">
        <v>1255</v>
      </c>
      <c r="J287" s="14">
        <v>730.87</v>
      </c>
      <c r="K287" s="14">
        <v>524.13</v>
      </c>
      <c r="L287" s="14" t="s">
        <v>18</v>
      </c>
      <c r="M287" s="14" t="s">
        <v>44</v>
      </c>
    </row>
    <row r="288" spans="1:13" x14ac:dyDescent="0.25">
      <c r="A288" s="14" t="s">
        <v>325</v>
      </c>
      <c r="B288" s="15">
        <v>45300</v>
      </c>
      <c r="C288" s="14" t="s">
        <v>21</v>
      </c>
      <c r="D288" s="14" t="s">
        <v>28</v>
      </c>
      <c r="E288" s="14" t="s">
        <v>16</v>
      </c>
      <c r="F288" s="14" t="s">
        <v>17</v>
      </c>
      <c r="G288" s="14">
        <v>2</v>
      </c>
      <c r="H288" s="14">
        <v>251</v>
      </c>
      <c r="I288" s="14">
        <v>502</v>
      </c>
      <c r="J288" s="14">
        <v>280.26</v>
      </c>
      <c r="K288" s="14">
        <v>221.74</v>
      </c>
      <c r="L288" s="14" t="s">
        <v>25</v>
      </c>
      <c r="M288" s="14" t="s">
        <v>26</v>
      </c>
    </row>
    <row r="289" spans="1:13" x14ac:dyDescent="0.25">
      <c r="A289" s="14" t="s">
        <v>326</v>
      </c>
      <c r="B289" s="15">
        <v>45555</v>
      </c>
      <c r="C289" s="14" t="s">
        <v>41</v>
      </c>
      <c r="D289" s="14" t="s">
        <v>42</v>
      </c>
      <c r="E289" s="14" t="s">
        <v>23</v>
      </c>
      <c r="F289" s="14" t="s">
        <v>39</v>
      </c>
      <c r="G289" s="14">
        <v>10</v>
      </c>
      <c r="H289" s="14">
        <v>522</v>
      </c>
      <c r="I289" s="14">
        <v>5220</v>
      </c>
      <c r="J289" s="14">
        <v>4068.81</v>
      </c>
      <c r="K289" s="14">
        <v>1151.19</v>
      </c>
      <c r="L289" s="14" t="s">
        <v>18</v>
      </c>
      <c r="M289" s="14" t="s">
        <v>44</v>
      </c>
    </row>
    <row r="290" spans="1:13" x14ac:dyDescent="0.25">
      <c r="A290" s="14" t="s">
        <v>327</v>
      </c>
      <c r="B290" s="15">
        <v>45497</v>
      </c>
      <c r="C290" s="14" t="s">
        <v>41</v>
      </c>
      <c r="D290" s="14" t="s">
        <v>28</v>
      </c>
      <c r="E290" s="14" t="s">
        <v>34</v>
      </c>
      <c r="F290" s="14" t="s">
        <v>47</v>
      </c>
      <c r="G290" s="14">
        <v>7</v>
      </c>
      <c r="H290" s="14">
        <v>33</v>
      </c>
      <c r="I290" s="14">
        <v>231</v>
      </c>
      <c r="J290" s="14">
        <v>174.46</v>
      </c>
      <c r="K290" s="14">
        <v>56.54</v>
      </c>
      <c r="L290" s="14" t="s">
        <v>18</v>
      </c>
      <c r="M290" s="14" t="s">
        <v>19</v>
      </c>
    </row>
    <row r="291" spans="1:13" x14ac:dyDescent="0.25">
      <c r="A291" s="14" t="s">
        <v>328</v>
      </c>
      <c r="B291" s="15">
        <v>45414</v>
      </c>
      <c r="C291" s="14" t="s">
        <v>38</v>
      </c>
      <c r="D291" s="14" t="s">
        <v>42</v>
      </c>
      <c r="E291" s="14" t="s">
        <v>23</v>
      </c>
      <c r="F291" s="14" t="s">
        <v>43</v>
      </c>
      <c r="G291" s="14">
        <v>4</v>
      </c>
      <c r="H291" s="14">
        <v>603</v>
      </c>
      <c r="I291" s="14">
        <v>2412</v>
      </c>
      <c r="J291" s="14">
        <v>1273.1500000000001</v>
      </c>
      <c r="K291" s="14">
        <v>1138.8499999999999</v>
      </c>
      <c r="L291" s="14" t="s">
        <v>18</v>
      </c>
      <c r="M291" s="14" t="s">
        <v>44</v>
      </c>
    </row>
    <row r="292" spans="1:13" x14ac:dyDescent="0.25">
      <c r="A292" s="14" t="s">
        <v>329</v>
      </c>
      <c r="B292" s="15">
        <v>45515</v>
      </c>
      <c r="C292" s="14" t="s">
        <v>41</v>
      </c>
      <c r="D292" s="14" t="s">
        <v>15</v>
      </c>
      <c r="E292" s="14" t="s">
        <v>23</v>
      </c>
      <c r="F292" s="14" t="s">
        <v>43</v>
      </c>
      <c r="G292" s="14">
        <v>5</v>
      </c>
      <c r="H292" s="14">
        <v>312</v>
      </c>
      <c r="I292" s="14">
        <v>1560</v>
      </c>
      <c r="J292" s="14">
        <v>860.96</v>
      </c>
      <c r="K292" s="14">
        <v>699.04</v>
      </c>
      <c r="L292" s="14" t="s">
        <v>25</v>
      </c>
      <c r="M292" s="14" t="s">
        <v>19</v>
      </c>
    </row>
    <row r="293" spans="1:13" x14ac:dyDescent="0.25">
      <c r="A293" s="14" t="s">
        <v>330</v>
      </c>
      <c r="B293" s="15">
        <v>45327</v>
      </c>
      <c r="C293" s="14" t="s">
        <v>21</v>
      </c>
      <c r="D293" s="14" t="s">
        <v>28</v>
      </c>
      <c r="E293" s="14" t="s">
        <v>16</v>
      </c>
      <c r="F293" s="14" t="s">
        <v>29</v>
      </c>
      <c r="G293" s="14">
        <v>8</v>
      </c>
      <c r="H293" s="14">
        <v>897</v>
      </c>
      <c r="I293" s="14">
        <v>7176</v>
      </c>
      <c r="J293" s="14">
        <v>4026.52</v>
      </c>
      <c r="K293" s="14">
        <v>3149.48</v>
      </c>
      <c r="L293" s="14" t="s">
        <v>25</v>
      </c>
      <c r="M293" s="14" t="s">
        <v>44</v>
      </c>
    </row>
    <row r="294" spans="1:13" x14ac:dyDescent="0.25">
      <c r="A294" s="14" t="s">
        <v>331</v>
      </c>
      <c r="B294" s="15">
        <v>45504</v>
      </c>
      <c r="C294" s="14" t="s">
        <v>14</v>
      </c>
      <c r="D294" s="14" t="s">
        <v>22</v>
      </c>
      <c r="E294" s="14" t="s">
        <v>16</v>
      </c>
      <c r="F294" s="14" t="s">
        <v>64</v>
      </c>
      <c r="G294" s="14">
        <v>6</v>
      </c>
      <c r="H294" s="14">
        <v>471</v>
      </c>
      <c r="I294" s="14">
        <v>2826</v>
      </c>
      <c r="J294" s="14">
        <v>1928.91</v>
      </c>
      <c r="K294" s="14">
        <v>897.09</v>
      </c>
      <c r="L294" s="14" t="s">
        <v>25</v>
      </c>
      <c r="M294" s="14" t="s">
        <v>19</v>
      </c>
    </row>
    <row r="295" spans="1:13" x14ac:dyDescent="0.25">
      <c r="A295" s="14" t="s">
        <v>332</v>
      </c>
      <c r="B295" s="15">
        <v>45497</v>
      </c>
      <c r="C295" s="14" t="s">
        <v>41</v>
      </c>
      <c r="D295" s="14" t="s">
        <v>28</v>
      </c>
      <c r="E295" s="14" t="s">
        <v>16</v>
      </c>
      <c r="F295" s="14" t="s">
        <v>17</v>
      </c>
      <c r="G295" s="14">
        <v>4</v>
      </c>
      <c r="H295" s="14">
        <v>887</v>
      </c>
      <c r="I295" s="14">
        <v>3548</v>
      </c>
      <c r="J295" s="14">
        <v>2174.79</v>
      </c>
      <c r="K295" s="14">
        <v>1373.21</v>
      </c>
      <c r="L295" s="14" t="s">
        <v>18</v>
      </c>
      <c r="M295" s="14" t="s">
        <v>26</v>
      </c>
    </row>
    <row r="296" spans="1:13" x14ac:dyDescent="0.25">
      <c r="A296" s="14" t="s">
        <v>333</v>
      </c>
      <c r="B296" s="15">
        <v>45473</v>
      </c>
      <c r="C296" s="14" t="s">
        <v>38</v>
      </c>
      <c r="D296" s="14" t="s">
        <v>28</v>
      </c>
      <c r="E296" s="14" t="s">
        <v>16</v>
      </c>
      <c r="F296" s="14" t="s">
        <v>29</v>
      </c>
      <c r="G296" s="14">
        <v>3</v>
      </c>
      <c r="H296" s="14">
        <v>586</v>
      </c>
      <c r="I296" s="14">
        <v>1758</v>
      </c>
      <c r="J296" s="14">
        <v>1317.63</v>
      </c>
      <c r="K296" s="14">
        <v>440.37</v>
      </c>
      <c r="L296" s="14" t="s">
        <v>18</v>
      </c>
      <c r="M296" s="14" t="s">
        <v>19</v>
      </c>
    </row>
    <row r="297" spans="1:13" x14ac:dyDescent="0.25">
      <c r="A297" s="14" t="s">
        <v>334</v>
      </c>
      <c r="B297" s="15">
        <v>45311</v>
      </c>
      <c r="C297" s="14" t="s">
        <v>38</v>
      </c>
      <c r="D297" s="14" t="s">
        <v>22</v>
      </c>
      <c r="E297" s="14" t="s">
        <v>16</v>
      </c>
      <c r="F297" s="14" t="s">
        <v>29</v>
      </c>
      <c r="G297" s="14">
        <v>6</v>
      </c>
      <c r="H297" s="14">
        <v>726</v>
      </c>
      <c r="I297" s="14">
        <v>4356</v>
      </c>
      <c r="J297" s="14">
        <v>2700.77</v>
      </c>
      <c r="K297" s="14">
        <v>1655.23</v>
      </c>
      <c r="L297" s="14" t="s">
        <v>18</v>
      </c>
      <c r="M297" s="14" t="s">
        <v>19</v>
      </c>
    </row>
    <row r="298" spans="1:13" x14ac:dyDescent="0.25">
      <c r="A298" s="14" t="s">
        <v>335</v>
      </c>
      <c r="B298" s="15">
        <v>45309</v>
      </c>
      <c r="C298" s="14" t="s">
        <v>38</v>
      </c>
      <c r="D298" s="14" t="s">
        <v>15</v>
      </c>
      <c r="E298" s="14" t="s">
        <v>34</v>
      </c>
      <c r="F298" s="14" t="s">
        <v>47</v>
      </c>
      <c r="G298" s="14">
        <v>5</v>
      </c>
      <c r="H298" s="14">
        <v>130</v>
      </c>
      <c r="I298" s="14">
        <v>650</v>
      </c>
      <c r="J298" s="14">
        <v>501.32</v>
      </c>
      <c r="K298" s="14">
        <v>148.68</v>
      </c>
      <c r="L298" s="14" t="s">
        <v>18</v>
      </c>
      <c r="M298" s="14" t="s">
        <v>26</v>
      </c>
    </row>
    <row r="299" spans="1:13" x14ac:dyDescent="0.25">
      <c r="A299" s="14" t="s">
        <v>336</v>
      </c>
      <c r="B299" s="15">
        <v>45547</v>
      </c>
      <c r="C299" s="14" t="s">
        <v>14</v>
      </c>
      <c r="D299" s="14" t="s">
        <v>28</v>
      </c>
      <c r="E299" s="14" t="s">
        <v>23</v>
      </c>
      <c r="F299" s="14" t="s">
        <v>39</v>
      </c>
      <c r="G299" s="14">
        <v>6</v>
      </c>
      <c r="H299" s="14">
        <v>515</v>
      </c>
      <c r="I299" s="14">
        <v>3090</v>
      </c>
      <c r="J299" s="14">
        <v>2233.16</v>
      </c>
      <c r="K299" s="14">
        <v>856.84</v>
      </c>
      <c r="L299" s="14" t="s">
        <v>18</v>
      </c>
      <c r="M299" s="14" t="s">
        <v>30</v>
      </c>
    </row>
    <row r="300" spans="1:13" x14ac:dyDescent="0.25">
      <c r="A300" s="14" t="s">
        <v>337</v>
      </c>
      <c r="B300" s="15">
        <v>45331</v>
      </c>
      <c r="C300" s="14" t="s">
        <v>14</v>
      </c>
      <c r="D300" s="14" t="s">
        <v>28</v>
      </c>
      <c r="E300" s="14" t="s">
        <v>23</v>
      </c>
      <c r="F300" s="14" t="s">
        <v>39</v>
      </c>
      <c r="G300" s="14">
        <v>7</v>
      </c>
      <c r="H300" s="14">
        <v>697</v>
      </c>
      <c r="I300" s="14">
        <v>4879</v>
      </c>
      <c r="J300" s="14">
        <v>2640.52</v>
      </c>
      <c r="K300" s="14">
        <v>2238.48</v>
      </c>
      <c r="L300" s="14" t="s">
        <v>18</v>
      </c>
      <c r="M300" s="14" t="s">
        <v>19</v>
      </c>
    </row>
    <row r="301" spans="1:13" x14ac:dyDescent="0.25">
      <c r="A301" s="14" t="s">
        <v>338</v>
      </c>
      <c r="B301" s="15">
        <v>45558</v>
      </c>
      <c r="C301" s="14" t="s">
        <v>38</v>
      </c>
      <c r="D301" s="14" t="s">
        <v>15</v>
      </c>
      <c r="E301" s="14" t="s">
        <v>16</v>
      </c>
      <c r="F301" s="14" t="s">
        <v>17</v>
      </c>
      <c r="G301" s="14">
        <v>4</v>
      </c>
      <c r="H301" s="14">
        <v>830</v>
      </c>
      <c r="I301" s="14">
        <v>3320</v>
      </c>
      <c r="J301" s="14">
        <v>2020.12</v>
      </c>
      <c r="K301" s="14">
        <v>1299.8800000000001</v>
      </c>
      <c r="L301" s="14" t="s">
        <v>25</v>
      </c>
      <c r="M301" s="14" t="s">
        <v>44</v>
      </c>
    </row>
    <row r="302" spans="1:13" x14ac:dyDescent="0.25">
      <c r="A302" s="14" t="s">
        <v>339</v>
      </c>
      <c r="B302" s="15">
        <v>45392</v>
      </c>
      <c r="C302" s="14" t="s">
        <v>38</v>
      </c>
      <c r="D302" s="14" t="s">
        <v>15</v>
      </c>
      <c r="E302" s="14" t="s">
        <v>34</v>
      </c>
      <c r="F302" s="14" t="s">
        <v>35</v>
      </c>
      <c r="G302" s="14">
        <v>6</v>
      </c>
      <c r="H302" s="14">
        <v>945</v>
      </c>
      <c r="I302" s="14">
        <v>5670</v>
      </c>
      <c r="J302" s="14">
        <v>3679.92</v>
      </c>
      <c r="K302" s="14">
        <v>1990.08</v>
      </c>
      <c r="L302" s="14" t="s">
        <v>25</v>
      </c>
      <c r="M302" s="14" t="s">
        <v>26</v>
      </c>
    </row>
    <row r="303" spans="1:13" x14ac:dyDescent="0.25">
      <c r="A303" s="14" t="s">
        <v>340</v>
      </c>
      <c r="B303" s="15">
        <v>45556</v>
      </c>
      <c r="C303" s="14" t="s">
        <v>38</v>
      </c>
      <c r="D303" s="14" t="s">
        <v>42</v>
      </c>
      <c r="E303" s="14" t="s">
        <v>23</v>
      </c>
      <c r="F303" s="14" t="s">
        <v>43</v>
      </c>
      <c r="G303" s="14">
        <v>1</v>
      </c>
      <c r="H303" s="14">
        <v>984</v>
      </c>
      <c r="I303" s="14">
        <v>984</v>
      </c>
      <c r="J303" s="14">
        <v>603.89</v>
      </c>
      <c r="K303" s="14">
        <v>380.11</v>
      </c>
      <c r="L303" s="14" t="s">
        <v>18</v>
      </c>
      <c r="M303" s="14" t="s">
        <v>30</v>
      </c>
    </row>
    <row r="304" spans="1:13" x14ac:dyDescent="0.25">
      <c r="A304" s="14" t="s">
        <v>341</v>
      </c>
      <c r="B304" s="15">
        <v>45301</v>
      </c>
      <c r="C304" s="14" t="s">
        <v>38</v>
      </c>
      <c r="D304" s="14" t="s">
        <v>22</v>
      </c>
      <c r="E304" s="14" t="s">
        <v>16</v>
      </c>
      <c r="F304" s="14" t="s">
        <v>29</v>
      </c>
      <c r="G304" s="14">
        <v>3</v>
      </c>
      <c r="H304" s="14">
        <v>941</v>
      </c>
      <c r="I304" s="14">
        <v>2823</v>
      </c>
      <c r="J304" s="14">
        <v>1957.58</v>
      </c>
      <c r="K304" s="14">
        <v>865.42</v>
      </c>
      <c r="L304" s="14" t="s">
        <v>25</v>
      </c>
      <c r="M304" s="14" t="s">
        <v>44</v>
      </c>
    </row>
    <row r="305" spans="1:13" x14ac:dyDescent="0.25">
      <c r="A305" s="14" t="s">
        <v>342</v>
      </c>
      <c r="B305" s="15">
        <v>45420</v>
      </c>
      <c r="C305" s="14" t="s">
        <v>38</v>
      </c>
      <c r="D305" s="14" t="s">
        <v>28</v>
      </c>
      <c r="E305" s="14" t="s">
        <v>34</v>
      </c>
      <c r="F305" s="14" t="s">
        <v>53</v>
      </c>
      <c r="G305" s="14">
        <v>8</v>
      </c>
      <c r="H305" s="14">
        <v>342</v>
      </c>
      <c r="I305" s="14">
        <v>2736</v>
      </c>
      <c r="J305" s="14">
        <v>1783.9</v>
      </c>
      <c r="K305" s="14">
        <v>952.1</v>
      </c>
      <c r="L305" s="14" t="s">
        <v>18</v>
      </c>
      <c r="M305" s="14" t="s">
        <v>44</v>
      </c>
    </row>
    <row r="306" spans="1:13" x14ac:dyDescent="0.25">
      <c r="A306" s="14" t="s">
        <v>343</v>
      </c>
      <c r="B306" s="15">
        <v>45421</v>
      </c>
      <c r="C306" s="14" t="s">
        <v>21</v>
      </c>
      <c r="D306" s="14" t="s">
        <v>42</v>
      </c>
      <c r="E306" s="14" t="s">
        <v>23</v>
      </c>
      <c r="F306" s="14" t="s">
        <v>43</v>
      </c>
      <c r="G306" s="14">
        <v>10</v>
      </c>
      <c r="H306" s="14">
        <v>599</v>
      </c>
      <c r="I306" s="14">
        <v>5990</v>
      </c>
      <c r="J306" s="14">
        <v>3703.64</v>
      </c>
      <c r="K306" s="14">
        <v>2286.36</v>
      </c>
      <c r="L306" s="14" t="s">
        <v>25</v>
      </c>
      <c r="M306" s="14" t="s">
        <v>19</v>
      </c>
    </row>
    <row r="307" spans="1:13" x14ac:dyDescent="0.25">
      <c r="A307" s="14" t="s">
        <v>344</v>
      </c>
      <c r="B307" s="15">
        <v>45324</v>
      </c>
      <c r="C307" s="14" t="s">
        <v>38</v>
      </c>
      <c r="D307" s="14" t="s">
        <v>28</v>
      </c>
      <c r="E307" s="14" t="s">
        <v>34</v>
      </c>
      <c r="F307" s="14" t="s">
        <v>47</v>
      </c>
      <c r="G307" s="14">
        <v>4</v>
      </c>
      <c r="H307" s="14">
        <v>404</v>
      </c>
      <c r="I307" s="14">
        <v>1616</v>
      </c>
      <c r="J307" s="14">
        <v>969.96</v>
      </c>
      <c r="K307" s="14">
        <v>646.04</v>
      </c>
      <c r="L307" s="14" t="s">
        <v>18</v>
      </c>
      <c r="M307" s="14" t="s">
        <v>30</v>
      </c>
    </row>
    <row r="308" spans="1:13" x14ac:dyDescent="0.25">
      <c r="A308" s="14" t="s">
        <v>345</v>
      </c>
      <c r="B308" s="15">
        <v>45510</v>
      </c>
      <c r="C308" s="14" t="s">
        <v>21</v>
      </c>
      <c r="D308" s="14" t="s">
        <v>42</v>
      </c>
      <c r="E308" s="14" t="s">
        <v>23</v>
      </c>
      <c r="F308" s="14" t="s">
        <v>43</v>
      </c>
      <c r="G308" s="14">
        <v>4</v>
      </c>
      <c r="H308" s="14">
        <v>193</v>
      </c>
      <c r="I308" s="14">
        <v>772</v>
      </c>
      <c r="J308" s="14">
        <v>530.41</v>
      </c>
      <c r="K308" s="14">
        <v>241.59</v>
      </c>
      <c r="L308" s="14" t="s">
        <v>25</v>
      </c>
      <c r="M308" s="14" t="s">
        <v>19</v>
      </c>
    </row>
    <row r="309" spans="1:13" x14ac:dyDescent="0.25">
      <c r="A309" s="14" t="s">
        <v>346</v>
      </c>
      <c r="B309" s="15">
        <v>45325</v>
      </c>
      <c r="C309" s="14" t="s">
        <v>38</v>
      </c>
      <c r="D309" s="14" t="s">
        <v>22</v>
      </c>
      <c r="E309" s="14" t="s">
        <v>23</v>
      </c>
      <c r="F309" s="14" t="s">
        <v>39</v>
      </c>
      <c r="G309" s="14">
        <v>8</v>
      </c>
      <c r="H309" s="14">
        <v>901</v>
      </c>
      <c r="I309" s="14">
        <v>7208</v>
      </c>
      <c r="J309" s="14">
        <v>5610.11</v>
      </c>
      <c r="K309" s="14">
        <v>1597.89</v>
      </c>
      <c r="L309" s="14" t="s">
        <v>18</v>
      </c>
      <c r="M309" s="14" t="s">
        <v>44</v>
      </c>
    </row>
    <row r="310" spans="1:13" x14ac:dyDescent="0.25">
      <c r="A310" s="14" t="s">
        <v>347</v>
      </c>
      <c r="B310" s="15">
        <v>45582</v>
      </c>
      <c r="C310" s="14" t="s">
        <v>21</v>
      </c>
      <c r="D310" s="14" t="s">
        <v>15</v>
      </c>
      <c r="E310" s="14" t="s">
        <v>34</v>
      </c>
      <c r="F310" s="14" t="s">
        <v>47</v>
      </c>
      <c r="G310" s="14">
        <v>7</v>
      </c>
      <c r="H310" s="14">
        <v>366</v>
      </c>
      <c r="I310" s="14">
        <v>2562</v>
      </c>
      <c r="J310" s="14">
        <v>1450.75</v>
      </c>
      <c r="K310" s="14">
        <v>1111.25</v>
      </c>
      <c r="L310" s="14" t="s">
        <v>18</v>
      </c>
      <c r="M310" s="14" t="s">
        <v>44</v>
      </c>
    </row>
    <row r="311" spans="1:13" x14ac:dyDescent="0.25">
      <c r="A311" s="14" t="s">
        <v>348</v>
      </c>
      <c r="B311" s="15">
        <v>45513</v>
      </c>
      <c r="C311" s="14" t="s">
        <v>38</v>
      </c>
      <c r="D311" s="14" t="s">
        <v>15</v>
      </c>
      <c r="E311" s="14" t="s">
        <v>16</v>
      </c>
      <c r="F311" s="14" t="s">
        <v>17</v>
      </c>
      <c r="G311" s="14">
        <v>1</v>
      </c>
      <c r="H311" s="14">
        <v>324</v>
      </c>
      <c r="I311" s="14">
        <v>324</v>
      </c>
      <c r="J311" s="14">
        <v>172.82</v>
      </c>
      <c r="K311" s="14">
        <v>151.18</v>
      </c>
      <c r="L311" s="14" t="s">
        <v>18</v>
      </c>
      <c r="M311" s="14" t="s">
        <v>19</v>
      </c>
    </row>
    <row r="312" spans="1:13" x14ac:dyDescent="0.25">
      <c r="A312" s="14" t="s">
        <v>349</v>
      </c>
      <c r="B312" s="15">
        <v>45361</v>
      </c>
      <c r="C312" s="14" t="s">
        <v>38</v>
      </c>
      <c r="D312" s="14" t="s">
        <v>42</v>
      </c>
      <c r="E312" s="14" t="s">
        <v>16</v>
      </c>
      <c r="F312" s="14" t="s">
        <v>17</v>
      </c>
      <c r="G312" s="14">
        <v>8</v>
      </c>
      <c r="H312" s="14">
        <v>768</v>
      </c>
      <c r="I312" s="14">
        <v>6144</v>
      </c>
      <c r="J312" s="14">
        <v>3735.35</v>
      </c>
      <c r="K312" s="14">
        <v>2408.65</v>
      </c>
      <c r="L312" s="14" t="s">
        <v>25</v>
      </c>
      <c r="M312" s="14" t="s">
        <v>19</v>
      </c>
    </row>
    <row r="313" spans="1:13" x14ac:dyDescent="0.25">
      <c r="A313" s="14" t="s">
        <v>350</v>
      </c>
      <c r="B313" s="15">
        <v>45586</v>
      </c>
      <c r="C313" s="14" t="s">
        <v>21</v>
      </c>
      <c r="D313" s="14" t="s">
        <v>42</v>
      </c>
      <c r="E313" s="14" t="s">
        <v>23</v>
      </c>
      <c r="F313" s="14" t="s">
        <v>24</v>
      </c>
      <c r="G313" s="14">
        <v>6</v>
      </c>
      <c r="H313" s="14">
        <v>777</v>
      </c>
      <c r="I313" s="14">
        <v>4662</v>
      </c>
      <c r="J313" s="14">
        <v>3457.24</v>
      </c>
      <c r="K313" s="14">
        <v>1204.76</v>
      </c>
      <c r="L313" s="14" t="s">
        <v>25</v>
      </c>
      <c r="M313" s="14" t="s">
        <v>19</v>
      </c>
    </row>
    <row r="314" spans="1:13" x14ac:dyDescent="0.25">
      <c r="A314" s="14" t="s">
        <v>351</v>
      </c>
      <c r="B314" s="15">
        <v>45444</v>
      </c>
      <c r="C314" s="14" t="s">
        <v>21</v>
      </c>
      <c r="D314" s="14" t="s">
        <v>28</v>
      </c>
      <c r="E314" s="14" t="s">
        <v>34</v>
      </c>
      <c r="F314" s="14" t="s">
        <v>53</v>
      </c>
      <c r="G314" s="14">
        <v>3</v>
      </c>
      <c r="H314" s="14">
        <v>419</v>
      </c>
      <c r="I314" s="14">
        <v>1257</v>
      </c>
      <c r="J314" s="14">
        <v>805.19</v>
      </c>
      <c r="K314" s="14">
        <v>451.81</v>
      </c>
      <c r="L314" s="14" t="s">
        <v>18</v>
      </c>
      <c r="M314" s="14" t="s">
        <v>44</v>
      </c>
    </row>
    <row r="315" spans="1:13" x14ac:dyDescent="0.25">
      <c r="A315" s="14" t="s">
        <v>352</v>
      </c>
      <c r="B315" s="15">
        <v>45341</v>
      </c>
      <c r="C315" s="14" t="s">
        <v>41</v>
      </c>
      <c r="D315" s="14" t="s">
        <v>42</v>
      </c>
      <c r="E315" s="14" t="s">
        <v>23</v>
      </c>
      <c r="F315" s="14" t="s">
        <v>43</v>
      </c>
      <c r="G315" s="14">
        <v>6</v>
      </c>
      <c r="H315" s="14">
        <v>472</v>
      </c>
      <c r="I315" s="14">
        <v>2832</v>
      </c>
      <c r="J315" s="14">
        <v>1896</v>
      </c>
      <c r="K315" s="14">
        <v>936</v>
      </c>
      <c r="L315" s="14" t="s">
        <v>25</v>
      </c>
      <c r="M315" s="14" t="s">
        <v>26</v>
      </c>
    </row>
    <row r="316" spans="1:13" x14ac:dyDescent="0.25">
      <c r="A316" s="14" t="s">
        <v>353</v>
      </c>
      <c r="B316" s="15">
        <v>45351</v>
      </c>
      <c r="C316" s="14" t="s">
        <v>38</v>
      </c>
      <c r="D316" s="14" t="s">
        <v>15</v>
      </c>
      <c r="E316" s="14" t="s">
        <v>16</v>
      </c>
      <c r="F316" s="14" t="s">
        <v>64</v>
      </c>
      <c r="G316" s="14">
        <v>3</v>
      </c>
      <c r="H316" s="14">
        <v>592</v>
      </c>
      <c r="I316" s="14">
        <v>1776</v>
      </c>
      <c r="J316" s="14">
        <v>1080.01</v>
      </c>
      <c r="K316" s="14">
        <v>695.99</v>
      </c>
      <c r="L316" s="14" t="s">
        <v>25</v>
      </c>
      <c r="M316" s="14" t="s">
        <v>19</v>
      </c>
    </row>
    <row r="317" spans="1:13" x14ac:dyDescent="0.25">
      <c r="A317" s="14" t="s">
        <v>354</v>
      </c>
      <c r="B317" s="15">
        <v>45425</v>
      </c>
      <c r="C317" s="14" t="s">
        <v>41</v>
      </c>
      <c r="D317" s="14" t="s">
        <v>15</v>
      </c>
      <c r="E317" s="14" t="s">
        <v>23</v>
      </c>
      <c r="F317" s="14" t="s">
        <v>24</v>
      </c>
      <c r="G317" s="14">
        <v>9</v>
      </c>
      <c r="H317" s="14">
        <v>559</v>
      </c>
      <c r="I317" s="14">
        <v>5031</v>
      </c>
      <c r="J317" s="14">
        <v>2751.06</v>
      </c>
      <c r="K317" s="14">
        <v>2279.94</v>
      </c>
      <c r="L317" s="14" t="s">
        <v>25</v>
      </c>
      <c r="M317" s="14" t="s">
        <v>30</v>
      </c>
    </row>
    <row r="318" spans="1:13" x14ac:dyDescent="0.25">
      <c r="A318" s="14" t="s">
        <v>355</v>
      </c>
      <c r="B318" s="15">
        <v>45345</v>
      </c>
      <c r="C318" s="14" t="s">
        <v>41</v>
      </c>
      <c r="D318" s="14" t="s">
        <v>22</v>
      </c>
      <c r="E318" s="14" t="s">
        <v>23</v>
      </c>
      <c r="F318" s="14" t="s">
        <v>43</v>
      </c>
      <c r="G318" s="14">
        <v>6</v>
      </c>
      <c r="H318" s="14">
        <v>267</v>
      </c>
      <c r="I318" s="14">
        <v>1602</v>
      </c>
      <c r="J318" s="14">
        <v>1207.6400000000001</v>
      </c>
      <c r="K318" s="14">
        <v>394.36</v>
      </c>
      <c r="L318" s="14" t="s">
        <v>25</v>
      </c>
      <c r="M318" s="14" t="s">
        <v>19</v>
      </c>
    </row>
    <row r="319" spans="1:13" x14ac:dyDescent="0.25">
      <c r="A319" s="14" t="s">
        <v>356</v>
      </c>
      <c r="B319" s="15">
        <v>45530</v>
      </c>
      <c r="C319" s="14" t="s">
        <v>21</v>
      </c>
      <c r="D319" s="14" t="s">
        <v>42</v>
      </c>
      <c r="E319" s="14" t="s">
        <v>23</v>
      </c>
      <c r="F319" s="14" t="s">
        <v>39</v>
      </c>
      <c r="G319" s="14">
        <v>4</v>
      </c>
      <c r="H319" s="14">
        <v>952</v>
      </c>
      <c r="I319" s="14">
        <v>3808</v>
      </c>
      <c r="J319" s="14">
        <v>1923.09</v>
      </c>
      <c r="K319" s="14">
        <v>1884.91</v>
      </c>
      <c r="L319" s="14" t="s">
        <v>18</v>
      </c>
      <c r="M319" s="14" t="s">
        <v>26</v>
      </c>
    </row>
    <row r="320" spans="1:13" x14ac:dyDescent="0.25">
      <c r="A320" s="14" t="s">
        <v>357</v>
      </c>
      <c r="B320" s="15">
        <v>45468</v>
      </c>
      <c r="C320" s="14" t="s">
        <v>38</v>
      </c>
      <c r="D320" s="14" t="s">
        <v>28</v>
      </c>
      <c r="E320" s="14" t="s">
        <v>34</v>
      </c>
      <c r="F320" s="14" t="s">
        <v>47</v>
      </c>
      <c r="G320" s="14">
        <v>2</v>
      </c>
      <c r="H320" s="14">
        <v>132</v>
      </c>
      <c r="I320" s="14">
        <v>264</v>
      </c>
      <c r="J320" s="14">
        <v>170.69</v>
      </c>
      <c r="K320" s="14">
        <v>93.31</v>
      </c>
      <c r="L320" s="14" t="s">
        <v>18</v>
      </c>
      <c r="M320" s="14" t="s">
        <v>26</v>
      </c>
    </row>
    <row r="321" spans="1:13" x14ac:dyDescent="0.25">
      <c r="A321" s="14" t="s">
        <v>358</v>
      </c>
      <c r="B321" s="15">
        <v>45348</v>
      </c>
      <c r="C321" s="14" t="s">
        <v>21</v>
      </c>
      <c r="D321" s="14" t="s">
        <v>15</v>
      </c>
      <c r="E321" s="14" t="s">
        <v>16</v>
      </c>
      <c r="F321" s="14" t="s">
        <v>29</v>
      </c>
      <c r="G321" s="14">
        <v>5</v>
      </c>
      <c r="H321" s="14">
        <v>279</v>
      </c>
      <c r="I321" s="14">
        <v>1395</v>
      </c>
      <c r="J321" s="14">
        <v>1099.3699999999999</v>
      </c>
      <c r="K321" s="14">
        <v>295.63</v>
      </c>
      <c r="L321" s="14" t="s">
        <v>18</v>
      </c>
      <c r="M321" s="14" t="s">
        <v>26</v>
      </c>
    </row>
    <row r="322" spans="1:13" x14ac:dyDescent="0.25">
      <c r="A322" s="14" t="s">
        <v>359</v>
      </c>
      <c r="B322" s="15">
        <v>45341</v>
      </c>
      <c r="C322" s="14" t="s">
        <v>14</v>
      </c>
      <c r="D322" s="14" t="s">
        <v>22</v>
      </c>
      <c r="E322" s="14" t="s">
        <v>23</v>
      </c>
      <c r="F322" s="14" t="s">
        <v>43</v>
      </c>
      <c r="G322" s="14">
        <v>10</v>
      </c>
      <c r="H322" s="14">
        <v>595</v>
      </c>
      <c r="I322" s="14">
        <v>5950</v>
      </c>
      <c r="J322" s="14">
        <v>3097.96</v>
      </c>
      <c r="K322" s="14">
        <v>2852.04</v>
      </c>
      <c r="L322" s="14" t="s">
        <v>25</v>
      </c>
      <c r="M322" s="14" t="s">
        <v>44</v>
      </c>
    </row>
    <row r="323" spans="1:13" x14ac:dyDescent="0.25">
      <c r="A323" s="14" t="s">
        <v>360</v>
      </c>
      <c r="B323" s="15">
        <v>45435</v>
      </c>
      <c r="C323" s="14" t="s">
        <v>14</v>
      </c>
      <c r="D323" s="14" t="s">
        <v>28</v>
      </c>
      <c r="E323" s="14" t="s">
        <v>23</v>
      </c>
      <c r="F323" s="14" t="s">
        <v>24</v>
      </c>
      <c r="G323" s="14">
        <v>1</v>
      </c>
      <c r="H323" s="14">
        <v>333</v>
      </c>
      <c r="I323" s="14">
        <v>333</v>
      </c>
      <c r="J323" s="14">
        <v>264.85000000000002</v>
      </c>
      <c r="K323" s="14">
        <v>68.150000000000006</v>
      </c>
      <c r="L323" s="14" t="s">
        <v>18</v>
      </c>
      <c r="M323" s="14" t="s">
        <v>26</v>
      </c>
    </row>
    <row r="324" spans="1:13" x14ac:dyDescent="0.25">
      <c r="A324" s="14" t="s">
        <v>361</v>
      </c>
      <c r="B324" s="15">
        <v>45495</v>
      </c>
      <c r="C324" s="14" t="s">
        <v>41</v>
      </c>
      <c r="D324" s="14" t="s">
        <v>42</v>
      </c>
      <c r="E324" s="14" t="s">
        <v>16</v>
      </c>
      <c r="F324" s="14" t="s">
        <v>17</v>
      </c>
      <c r="G324" s="14">
        <v>9</v>
      </c>
      <c r="H324" s="14">
        <v>156</v>
      </c>
      <c r="I324" s="14">
        <v>1404</v>
      </c>
      <c r="J324" s="14">
        <v>826.38</v>
      </c>
      <c r="K324" s="14">
        <v>577.62</v>
      </c>
      <c r="L324" s="14" t="s">
        <v>18</v>
      </c>
      <c r="M324" s="14" t="s">
        <v>26</v>
      </c>
    </row>
    <row r="325" spans="1:13" x14ac:dyDescent="0.25">
      <c r="A325" s="14" t="s">
        <v>362</v>
      </c>
      <c r="B325" s="15">
        <v>45536</v>
      </c>
      <c r="C325" s="14" t="s">
        <v>38</v>
      </c>
      <c r="D325" s="14" t="s">
        <v>28</v>
      </c>
      <c r="E325" s="14" t="s">
        <v>23</v>
      </c>
      <c r="F325" s="14" t="s">
        <v>39</v>
      </c>
      <c r="G325" s="14">
        <v>7</v>
      </c>
      <c r="H325" s="14">
        <v>497</v>
      </c>
      <c r="I325" s="14">
        <v>3479</v>
      </c>
      <c r="J325" s="14">
        <v>2767.19</v>
      </c>
      <c r="K325" s="14">
        <v>711.81</v>
      </c>
      <c r="L325" s="14" t="s">
        <v>18</v>
      </c>
      <c r="M325" s="14" t="s">
        <v>30</v>
      </c>
    </row>
    <row r="326" spans="1:13" x14ac:dyDescent="0.25">
      <c r="A326" s="14" t="s">
        <v>363</v>
      </c>
      <c r="B326" s="15">
        <v>45448</v>
      </c>
      <c r="C326" s="14" t="s">
        <v>41</v>
      </c>
      <c r="D326" s="14" t="s">
        <v>42</v>
      </c>
      <c r="E326" s="14" t="s">
        <v>23</v>
      </c>
      <c r="F326" s="14" t="s">
        <v>24</v>
      </c>
      <c r="G326" s="14">
        <v>2</v>
      </c>
      <c r="H326" s="14">
        <v>873</v>
      </c>
      <c r="I326" s="14">
        <v>1746</v>
      </c>
      <c r="J326" s="14">
        <v>888.18</v>
      </c>
      <c r="K326" s="14">
        <v>857.82</v>
      </c>
      <c r="L326" s="14" t="s">
        <v>25</v>
      </c>
      <c r="M326" s="14" t="s">
        <v>19</v>
      </c>
    </row>
    <row r="327" spans="1:13" x14ac:dyDescent="0.25">
      <c r="A327" s="14" t="s">
        <v>364</v>
      </c>
      <c r="B327" s="15">
        <v>45382</v>
      </c>
      <c r="C327" s="14" t="s">
        <v>41</v>
      </c>
      <c r="D327" s="14" t="s">
        <v>15</v>
      </c>
      <c r="E327" s="14" t="s">
        <v>23</v>
      </c>
      <c r="F327" s="14" t="s">
        <v>24</v>
      </c>
      <c r="G327" s="14">
        <v>5</v>
      </c>
      <c r="H327" s="14">
        <v>886</v>
      </c>
      <c r="I327" s="14">
        <v>4430</v>
      </c>
      <c r="J327" s="14">
        <v>2421.84</v>
      </c>
      <c r="K327" s="14">
        <v>2008.16</v>
      </c>
      <c r="L327" s="14" t="s">
        <v>25</v>
      </c>
      <c r="M327" s="14" t="s">
        <v>44</v>
      </c>
    </row>
    <row r="328" spans="1:13" x14ac:dyDescent="0.25">
      <c r="A328" s="14" t="s">
        <v>365</v>
      </c>
      <c r="B328" s="15">
        <v>45502</v>
      </c>
      <c r="C328" s="14" t="s">
        <v>38</v>
      </c>
      <c r="D328" s="14" t="s">
        <v>22</v>
      </c>
      <c r="E328" s="14" t="s">
        <v>16</v>
      </c>
      <c r="F328" s="14" t="s">
        <v>64</v>
      </c>
      <c r="G328" s="14">
        <v>7</v>
      </c>
      <c r="H328" s="14">
        <v>931</v>
      </c>
      <c r="I328" s="14">
        <v>6517</v>
      </c>
      <c r="J328" s="14">
        <v>4823.42</v>
      </c>
      <c r="K328" s="14">
        <v>1693.58</v>
      </c>
      <c r="L328" s="14" t="s">
        <v>25</v>
      </c>
      <c r="M328" s="14" t="s">
        <v>44</v>
      </c>
    </row>
    <row r="329" spans="1:13" x14ac:dyDescent="0.25">
      <c r="A329" s="14" t="s">
        <v>366</v>
      </c>
      <c r="B329" s="15">
        <v>45376</v>
      </c>
      <c r="C329" s="14" t="s">
        <v>14</v>
      </c>
      <c r="D329" s="14" t="s">
        <v>42</v>
      </c>
      <c r="E329" s="14" t="s">
        <v>34</v>
      </c>
      <c r="F329" s="14" t="s">
        <v>53</v>
      </c>
      <c r="G329" s="14">
        <v>1</v>
      </c>
      <c r="H329" s="14">
        <v>634</v>
      </c>
      <c r="I329" s="14">
        <v>634</v>
      </c>
      <c r="J329" s="14">
        <v>356.76</v>
      </c>
      <c r="K329" s="14">
        <v>277.24</v>
      </c>
      <c r="L329" s="14" t="s">
        <v>18</v>
      </c>
      <c r="M329" s="14" t="s">
        <v>44</v>
      </c>
    </row>
    <row r="330" spans="1:13" x14ac:dyDescent="0.25">
      <c r="A330" s="14" t="s">
        <v>367</v>
      </c>
      <c r="B330" s="15">
        <v>45403</v>
      </c>
      <c r="C330" s="14" t="s">
        <v>14</v>
      </c>
      <c r="D330" s="14" t="s">
        <v>42</v>
      </c>
      <c r="E330" s="14" t="s">
        <v>23</v>
      </c>
      <c r="F330" s="14" t="s">
        <v>39</v>
      </c>
      <c r="G330" s="14">
        <v>3</v>
      </c>
      <c r="H330" s="14">
        <v>268</v>
      </c>
      <c r="I330" s="14">
        <v>804</v>
      </c>
      <c r="J330" s="14">
        <v>559.55999999999995</v>
      </c>
      <c r="K330" s="14">
        <v>244.44</v>
      </c>
      <c r="L330" s="14" t="s">
        <v>18</v>
      </c>
      <c r="M330" s="14" t="s">
        <v>30</v>
      </c>
    </row>
    <row r="331" spans="1:13" x14ac:dyDescent="0.25">
      <c r="A331" s="14" t="s">
        <v>368</v>
      </c>
      <c r="B331" s="15">
        <v>45315</v>
      </c>
      <c r="C331" s="14" t="s">
        <v>41</v>
      </c>
      <c r="D331" s="14" t="s">
        <v>28</v>
      </c>
      <c r="E331" s="14" t="s">
        <v>16</v>
      </c>
      <c r="F331" s="14" t="s">
        <v>17</v>
      </c>
      <c r="G331" s="14">
        <v>8</v>
      </c>
      <c r="H331" s="14">
        <v>342</v>
      </c>
      <c r="I331" s="14">
        <v>2736</v>
      </c>
      <c r="J331" s="14">
        <v>1967.68</v>
      </c>
      <c r="K331" s="14">
        <v>768.32</v>
      </c>
      <c r="L331" s="14" t="s">
        <v>25</v>
      </c>
      <c r="M331" s="14" t="s">
        <v>44</v>
      </c>
    </row>
    <row r="332" spans="1:13" x14ac:dyDescent="0.25">
      <c r="A332" s="14" t="s">
        <v>369</v>
      </c>
      <c r="B332" s="15">
        <v>45536</v>
      </c>
      <c r="C332" s="14" t="s">
        <v>21</v>
      </c>
      <c r="D332" s="14" t="s">
        <v>22</v>
      </c>
      <c r="E332" s="14" t="s">
        <v>34</v>
      </c>
      <c r="F332" s="14" t="s">
        <v>47</v>
      </c>
      <c r="G332" s="14">
        <v>3</v>
      </c>
      <c r="H332" s="14">
        <v>57</v>
      </c>
      <c r="I332" s="14">
        <v>171</v>
      </c>
      <c r="J332" s="14">
        <v>136.5</v>
      </c>
      <c r="K332" s="14">
        <v>34.5</v>
      </c>
      <c r="L332" s="14" t="s">
        <v>18</v>
      </c>
      <c r="M332" s="14" t="s">
        <v>44</v>
      </c>
    </row>
    <row r="333" spans="1:13" x14ac:dyDescent="0.25">
      <c r="A333" s="14" t="s">
        <v>370</v>
      </c>
      <c r="B333" s="15">
        <v>45548</v>
      </c>
      <c r="C333" s="14" t="s">
        <v>14</v>
      </c>
      <c r="D333" s="14" t="s">
        <v>15</v>
      </c>
      <c r="E333" s="14" t="s">
        <v>16</v>
      </c>
      <c r="F333" s="14" t="s">
        <v>64</v>
      </c>
      <c r="G333" s="14">
        <v>3</v>
      </c>
      <c r="H333" s="14">
        <v>276</v>
      </c>
      <c r="I333" s="14">
        <v>828</v>
      </c>
      <c r="J333" s="14">
        <v>479.19</v>
      </c>
      <c r="K333" s="14">
        <v>348.81</v>
      </c>
      <c r="L333" s="14" t="s">
        <v>18</v>
      </c>
      <c r="M333" s="14" t="s">
        <v>26</v>
      </c>
    </row>
    <row r="334" spans="1:13" x14ac:dyDescent="0.25">
      <c r="A334" s="14" t="s">
        <v>371</v>
      </c>
      <c r="B334" s="15">
        <v>45535</v>
      </c>
      <c r="C334" s="14" t="s">
        <v>14</v>
      </c>
      <c r="D334" s="14" t="s">
        <v>28</v>
      </c>
      <c r="E334" s="14" t="s">
        <v>34</v>
      </c>
      <c r="F334" s="14" t="s">
        <v>53</v>
      </c>
      <c r="G334" s="14">
        <v>8</v>
      </c>
      <c r="H334" s="14">
        <v>689</v>
      </c>
      <c r="I334" s="14">
        <v>5512</v>
      </c>
      <c r="J334" s="14">
        <v>3073.55</v>
      </c>
      <c r="K334" s="14">
        <v>2438.4499999999998</v>
      </c>
      <c r="L334" s="14" t="s">
        <v>25</v>
      </c>
      <c r="M334" s="14" t="s">
        <v>44</v>
      </c>
    </row>
    <row r="335" spans="1:13" x14ac:dyDescent="0.25">
      <c r="A335" s="14" t="s">
        <v>372</v>
      </c>
      <c r="B335" s="15">
        <v>45502</v>
      </c>
      <c r="C335" s="14" t="s">
        <v>21</v>
      </c>
      <c r="D335" s="14" t="s">
        <v>22</v>
      </c>
      <c r="E335" s="14" t="s">
        <v>23</v>
      </c>
      <c r="F335" s="14" t="s">
        <v>24</v>
      </c>
      <c r="G335" s="14">
        <v>4</v>
      </c>
      <c r="H335" s="14">
        <v>375</v>
      </c>
      <c r="I335" s="14">
        <v>1500</v>
      </c>
      <c r="J335" s="14">
        <v>1014.07</v>
      </c>
      <c r="K335" s="14">
        <v>485.93</v>
      </c>
      <c r="L335" s="14" t="s">
        <v>25</v>
      </c>
      <c r="M335" s="14" t="s">
        <v>19</v>
      </c>
    </row>
    <row r="336" spans="1:13" x14ac:dyDescent="0.25">
      <c r="A336" s="14" t="s">
        <v>373</v>
      </c>
      <c r="B336" s="15">
        <v>45382</v>
      </c>
      <c r="C336" s="14" t="s">
        <v>38</v>
      </c>
      <c r="D336" s="14" t="s">
        <v>28</v>
      </c>
      <c r="E336" s="14" t="s">
        <v>34</v>
      </c>
      <c r="F336" s="14" t="s">
        <v>53</v>
      </c>
      <c r="G336" s="14">
        <v>3</v>
      </c>
      <c r="H336" s="14">
        <v>993</v>
      </c>
      <c r="I336" s="14">
        <v>2979</v>
      </c>
      <c r="J336" s="14">
        <v>2250.2199999999998</v>
      </c>
      <c r="K336" s="14">
        <v>728.78</v>
      </c>
      <c r="L336" s="14" t="s">
        <v>25</v>
      </c>
      <c r="M336" s="14" t="s">
        <v>19</v>
      </c>
    </row>
    <row r="337" spans="1:13" x14ac:dyDescent="0.25">
      <c r="A337" s="14" t="s">
        <v>374</v>
      </c>
      <c r="B337" s="15">
        <v>45385</v>
      </c>
      <c r="C337" s="14" t="s">
        <v>41</v>
      </c>
      <c r="D337" s="14" t="s">
        <v>28</v>
      </c>
      <c r="E337" s="14" t="s">
        <v>34</v>
      </c>
      <c r="F337" s="14" t="s">
        <v>47</v>
      </c>
      <c r="G337" s="14">
        <v>10</v>
      </c>
      <c r="H337" s="14">
        <v>812</v>
      </c>
      <c r="I337" s="14">
        <v>8120</v>
      </c>
      <c r="J337" s="14">
        <v>5681.33</v>
      </c>
      <c r="K337" s="14">
        <v>2438.67</v>
      </c>
      <c r="L337" s="14" t="s">
        <v>25</v>
      </c>
      <c r="M337" s="14" t="s">
        <v>26</v>
      </c>
    </row>
    <row r="338" spans="1:13" x14ac:dyDescent="0.25">
      <c r="A338" s="14" t="s">
        <v>375</v>
      </c>
      <c r="B338" s="15">
        <v>45552</v>
      </c>
      <c r="C338" s="14" t="s">
        <v>41</v>
      </c>
      <c r="D338" s="14" t="s">
        <v>15</v>
      </c>
      <c r="E338" s="14" t="s">
        <v>16</v>
      </c>
      <c r="F338" s="14" t="s">
        <v>29</v>
      </c>
      <c r="G338" s="14">
        <v>7</v>
      </c>
      <c r="H338" s="14">
        <v>42</v>
      </c>
      <c r="I338" s="14">
        <v>294</v>
      </c>
      <c r="J338" s="14">
        <v>183.62</v>
      </c>
      <c r="K338" s="14">
        <v>110.38</v>
      </c>
      <c r="L338" s="14" t="s">
        <v>25</v>
      </c>
      <c r="M338" s="14" t="s">
        <v>26</v>
      </c>
    </row>
    <row r="339" spans="1:13" x14ac:dyDescent="0.25">
      <c r="A339" s="14" t="s">
        <v>376</v>
      </c>
      <c r="B339" s="15">
        <v>45474</v>
      </c>
      <c r="C339" s="14" t="s">
        <v>38</v>
      </c>
      <c r="D339" s="14" t="s">
        <v>22</v>
      </c>
      <c r="E339" s="14" t="s">
        <v>16</v>
      </c>
      <c r="F339" s="14" t="s">
        <v>29</v>
      </c>
      <c r="G339" s="14">
        <v>1</v>
      </c>
      <c r="H339" s="14">
        <v>223</v>
      </c>
      <c r="I339" s="14">
        <v>223</v>
      </c>
      <c r="J339" s="14">
        <v>160.76</v>
      </c>
      <c r="K339" s="14">
        <v>62.24</v>
      </c>
      <c r="L339" s="14" t="s">
        <v>25</v>
      </c>
      <c r="M339" s="14" t="s">
        <v>44</v>
      </c>
    </row>
    <row r="340" spans="1:13" x14ac:dyDescent="0.25">
      <c r="A340" s="14" t="s">
        <v>377</v>
      </c>
      <c r="B340" s="15">
        <v>45394</v>
      </c>
      <c r="C340" s="14" t="s">
        <v>21</v>
      </c>
      <c r="D340" s="14" t="s">
        <v>15</v>
      </c>
      <c r="E340" s="14" t="s">
        <v>16</v>
      </c>
      <c r="F340" s="14" t="s">
        <v>64</v>
      </c>
      <c r="G340" s="14">
        <v>5</v>
      </c>
      <c r="H340" s="14">
        <v>760</v>
      </c>
      <c r="I340" s="14">
        <v>3800</v>
      </c>
      <c r="J340" s="14">
        <v>2215.48</v>
      </c>
      <c r="K340" s="14">
        <v>1584.52</v>
      </c>
      <c r="L340" s="14" t="s">
        <v>25</v>
      </c>
      <c r="M340" s="14" t="s">
        <v>30</v>
      </c>
    </row>
    <row r="341" spans="1:13" x14ac:dyDescent="0.25">
      <c r="A341" s="14" t="s">
        <v>378</v>
      </c>
      <c r="B341" s="15">
        <v>45470</v>
      </c>
      <c r="C341" s="14" t="s">
        <v>14</v>
      </c>
      <c r="D341" s="14" t="s">
        <v>42</v>
      </c>
      <c r="E341" s="14" t="s">
        <v>34</v>
      </c>
      <c r="F341" s="14" t="s">
        <v>47</v>
      </c>
      <c r="G341" s="14">
        <v>3</v>
      </c>
      <c r="H341" s="14">
        <v>356</v>
      </c>
      <c r="I341" s="14">
        <v>1068</v>
      </c>
      <c r="J341" s="14">
        <v>553.29</v>
      </c>
      <c r="K341" s="14">
        <v>514.71</v>
      </c>
      <c r="L341" s="14" t="s">
        <v>25</v>
      </c>
      <c r="M341" s="14" t="s">
        <v>30</v>
      </c>
    </row>
    <row r="342" spans="1:13" x14ac:dyDescent="0.25">
      <c r="A342" s="14" t="s">
        <v>379</v>
      </c>
      <c r="B342" s="15">
        <v>45582</v>
      </c>
      <c r="C342" s="14" t="s">
        <v>38</v>
      </c>
      <c r="D342" s="14" t="s">
        <v>22</v>
      </c>
      <c r="E342" s="14" t="s">
        <v>34</v>
      </c>
      <c r="F342" s="14" t="s">
        <v>35</v>
      </c>
      <c r="G342" s="14">
        <v>3</v>
      </c>
      <c r="H342" s="14">
        <v>831</v>
      </c>
      <c r="I342" s="14">
        <v>2493</v>
      </c>
      <c r="J342" s="14">
        <v>1723.92</v>
      </c>
      <c r="K342" s="14">
        <v>769.08</v>
      </c>
      <c r="L342" s="14" t="s">
        <v>18</v>
      </c>
      <c r="M342" s="14" t="s">
        <v>30</v>
      </c>
    </row>
    <row r="343" spans="1:13" x14ac:dyDescent="0.25">
      <c r="A343" s="14" t="s">
        <v>380</v>
      </c>
      <c r="B343" s="15">
        <v>45585</v>
      </c>
      <c r="C343" s="14" t="s">
        <v>21</v>
      </c>
      <c r="D343" s="14" t="s">
        <v>22</v>
      </c>
      <c r="E343" s="14" t="s">
        <v>23</v>
      </c>
      <c r="F343" s="14" t="s">
        <v>24</v>
      </c>
      <c r="G343" s="14">
        <v>10</v>
      </c>
      <c r="H343" s="14">
        <v>808</v>
      </c>
      <c r="I343" s="14">
        <v>8080</v>
      </c>
      <c r="J343" s="14">
        <v>5452.05</v>
      </c>
      <c r="K343" s="14">
        <v>2627.95</v>
      </c>
      <c r="L343" s="14" t="s">
        <v>18</v>
      </c>
      <c r="M343" s="14" t="s">
        <v>44</v>
      </c>
    </row>
    <row r="344" spans="1:13" x14ac:dyDescent="0.25">
      <c r="A344" s="14" t="s">
        <v>381</v>
      </c>
      <c r="B344" s="15">
        <v>45584</v>
      </c>
      <c r="C344" s="14" t="s">
        <v>38</v>
      </c>
      <c r="D344" s="14" t="s">
        <v>28</v>
      </c>
      <c r="E344" s="14" t="s">
        <v>16</v>
      </c>
      <c r="F344" s="14" t="s">
        <v>64</v>
      </c>
      <c r="G344" s="14">
        <v>6</v>
      </c>
      <c r="H344" s="14">
        <v>804</v>
      </c>
      <c r="I344" s="14">
        <v>4824</v>
      </c>
      <c r="J344" s="14">
        <v>3426.26</v>
      </c>
      <c r="K344" s="14">
        <v>1397.74</v>
      </c>
      <c r="L344" s="14" t="s">
        <v>25</v>
      </c>
      <c r="M344" s="14" t="s">
        <v>30</v>
      </c>
    </row>
    <row r="345" spans="1:13" x14ac:dyDescent="0.25">
      <c r="A345" s="14" t="s">
        <v>382</v>
      </c>
      <c r="B345" s="15">
        <v>45582</v>
      </c>
      <c r="C345" s="14" t="s">
        <v>21</v>
      </c>
      <c r="D345" s="14" t="s">
        <v>28</v>
      </c>
      <c r="E345" s="14" t="s">
        <v>23</v>
      </c>
      <c r="F345" s="14" t="s">
        <v>24</v>
      </c>
      <c r="G345" s="14">
        <v>4</v>
      </c>
      <c r="H345" s="14">
        <v>94</v>
      </c>
      <c r="I345" s="14">
        <v>376</v>
      </c>
      <c r="J345" s="14">
        <v>209.74</v>
      </c>
      <c r="K345" s="14">
        <v>166.26</v>
      </c>
      <c r="L345" s="14" t="s">
        <v>18</v>
      </c>
      <c r="M345" s="14" t="s">
        <v>30</v>
      </c>
    </row>
    <row r="346" spans="1:13" x14ac:dyDescent="0.25">
      <c r="A346" s="14" t="s">
        <v>383</v>
      </c>
      <c r="B346" s="15">
        <v>45335</v>
      </c>
      <c r="C346" s="14" t="s">
        <v>38</v>
      </c>
      <c r="D346" s="14" t="s">
        <v>28</v>
      </c>
      <c r="E346" s="14" t="s">
        <v>34</v>
      </c>
      <c r="F346" s="14" t="s">
        <v>53</v>
      </c>
      <c r="G346" s="14">
        <v>8</v>
      </c>
      <c r="H346" s="14">
        <v>513</v>
      </c>
      <c r="I346" s="14">
        <v>4104</v>
      </c>
      <c r="J346" s="14">
        <v>2819.54</v>
      </c>
      <c r="K346" s="14">
        <v>1284.46</v>
      </c>
      <c r="L346" s="14" t="s">
        <v>18</v>
      </c>
      <c r="M346" s="14" t="s">
        <v>26</v>
      </c>
    </row>
    <row r="347" spans="1:13" x14ac:dyDescent="0.25">
      <c r="A347" s="14" t="s">
        <v>384</v>
      </c>
      <c r="B347" s="15">
        <v>45493</v>
      </c>
      <c r="C347" s="14" t="s">
        <v>14</v>
      </c>
      <c r="D347" s="14" t="s">
        <v>28</v>
      </c>
      <c r="E347" s="14" t="s">
        <v>16</v>
      </c>
      <c r="F347" s="14" t="s">
        <v>17</v>
      </c>
      <c r="G347" s="14">
        <v>6</v>
      </c>
      <c r="H347" s="14">
        <v>428</v>
      </c>
      <c r="I347" s="14">
        <v>2568</v>
      </c>
      <c r="J347" s="14">
        <v>1385.72</v>
      </c>
      <c r="K347" s="14">
        <v>1182.28</v>
      </c>
      <c r="L347" s="14" t="s">
        <v>18</v>
      </c>
      <c r="M347" s="14" t="s">
        <v>30</v>
      </c>
    </row>
    <row r="348" spans="1:13" x14ac:dyDescent="0.25">
      <c r="A348" s="14" t="s">
        <v>385</v>
      </c>
      <c r="B348" s="15">
        <v>45445</v>
      </c>
      <c r="C348" s="14" t="s">
        <v>21</v>
      </c>
      <c r="D348" s="14" t="s">
        <v>42</v>
      </c>
      <c r="E348" s="14" t="s">
        <v>34</v>
      </c>
      <c r="F348" s="14" t="s">
        <v>53</v>
      </c>
      <c r="G348" s="14">
        <v>6</v>
      </c>
      <c r="H348" s="14">
        <v>203</v>
      </c>
      <c r="I348" s="14">
        <v>1218</v>
      </c>
      <c r="J348" s="14">
        <v>773.6</v>
      </c>
      <c r="K348" s="14">
        <v>444.4</v>
      </c>
      <c r="L348" s="14" t="s">
        <v>25</v>
      </c>
      <c r="M348" s="14" t="s">
        <v>19</v>
      </c>
    </row>
    <row r="349" spans="1:13" x14ac:dyDescent="0.25">
      <c r="A349" s="14" t="s">
        <v>386</v>
      </c>
      <c r="B349" s="15">
        <v>45404</v>
      </c>
      <c r="C349" s="14" t="s">
        <v>38</v>
      </c>
      <c r="D349" s="14" t="s">
        <v>22</v>
      </c>
      <c r="E349" s="14" t="s">
        <v>34</v>
      </c>
      <c r="F349" s="14" t="s">
        <v>47</v>
      </c>
      <c r="G349" s="14">
        <v>4</v>
      </c>
      <c r="H349" s="14">
        <v>261</v>
      </c>
      <c r="I349" s="14">
        <v>1044</v>
      </c>
      <c r="J349" s="14">
        <v>538.67999999999995</v>
      </c>
      <c r="K349" s="14">
        <v>505.32</v>
      </c>
      <c r="L349" s="14" t="s">
        <v>25</v>
      </c>
      <c r="M349" s="14" t="s">
        <v>44</v>
      </c>
    </row>
    <row r="350" spans="1:13" x14ac:dyDescent="0.25">
      <c r="A350" s="14" t="s">
        <v>387</v>
      </c>
      <c r="B350" s="15">
        <v>45516</v>
      </c>
      <c r="C350" s="14" t="s">
        <v>41</v>
      </c>
      <c r="D350" s="14" t="s">
        <v>28</v>
      </c>
      <c r="E350" s="14" t="s">
        <v>34</v>
      </c>
      <c r="F350" s="14" t="s">
        <v>47</v>
      </c>
      <c r="G350" s="14">
        <v>6</v>
      </c>
      <c r="H350" s="14">
        <v>463</v>
      </c>
      <c r="I350" s="14">
        <v>2778</v>
      </c>
      <c r="J350" s="14">
        <v>1996.99</v>
      </c>
      <c r="K350" s="14">
        <v>781.01</v>
      </c>
      <c r="L350" s="14" t="s">
        <v>18</v>
      </c>
      <c r="M350" s="14" t="s">
        <v>26</v>
      </c>
    </row>
    <row r="351" spans="1:13" x14ac:dyDescent="0.25">
      <c r="A351" s="14" t="s">
        <v>388</v>
      </c>
      <c r="B351" s="15">
        <v>45336</v>
      </c>
      <c r="C351" s="14" t="s">
        <v>41</v>
      </c>
      <c r="D351" s="14" t="s">
        <v>42</v>
      </c>
      <c r="E351" s="14" t="s">
        <v>16</v>
      </c>
      <c r="F351" s="14" t="s">
        <v>17</v>
      </c>
      <c r="G351" s="14">
        <v>6</v>
      </c>
      <c r="H351" s="14">
        <v>534</v>
      </c>
      <c r="I351" s="14">
        <v>3204</v>
      </c>
      <c r="J351" s="14">
        <v>2407.6</v>
      </c>
      <c r="K351" s="14">
        <v>796.4</v>
      </c>
      <c r="L351" s="14" t="s">
        <v>18</v>
      </c>
      <c r="M351" s="14" t="s">
        <v>30</v>
      </c>
    </row>
    <row r="352" spans="1:13" x14ac:dyDescent="0.25">
      <c r="A352" s="14" t="s">
        <v>389</v>
      </c>
      <c r="B352" s="15">
        <v>45335</v>
      </c>
      <c r="C352" s="14" t="s">
        <v>41</v>
      </c>
      <c r="D352" s="14" t="s">
        <v>22</v>
      </c>
      <c r="E352" s="14" t="s">
        <v>34</v>
      </c>
      <c r="F352" s="14" t="s">
        <v>53</v>
      </c>
      <c r="G352" s="14">
        <v>10</v>
      </c>
      <c r="H352" s="14">
        <v>867</v>
      </c>
      <c r="I352" s="14">
        <v>8670</v>
      </c>
      <c r="J352" s="14">
        <v>5440.87</v>
      </c>
      <c r="K352" s="14">
        <v>3229.13</v>
      </c>
      <c r="L352" s="14" t="s">
        <v>18</v>
      </c>
      <c r="M352" s="14" t="s">
        <v>26</v>
      </c>
    </row>
    <row r="353" spans="1:13" x14ac:dyDescent="0.25">
      <c r="A353" s="14" t="s">
        <v>390</v>
      </c>
      <c r="B353" s="15">
        <v>45294</v>
      </c>
      <c r="C353" s="14" t="s">
        <v>21</v>
      </c>
      <c r="D353" s="14" t="s">
        <v>22</v>
      </c>
      <c r="E353" s="14" t="s">
        <v>16</v>
      </c>
      <c r="F353" s="14" t="s">
        <v>64</v>
      </c>
      <c r="G353" s="14">
        <v>3</v>
      </c>
      <c r="H353" s="14">
        <v>984</v>
      </c>
      <c r="I353" s="14">
        <v>2952</v>
      </c>
      <c r="J353" s="14">
        <v>1805.74</v>
      </c>
      <c r="K353" s="14">
        <v>1146.26</v>
      </c>
      <c r="L353" s="14" t="s">
        <v>18</v>
      </c>
      <c r="M353" s="14" t="s">
        <v>26</v>
      </c>
    </row>
    <row r="354" spans="1:13" x14ac:dyDescent="0.25">
      <c r="A354" s="14" t="s">
        <v>391</v>
      </c>
      <c r="B354" s="15">
        <v>45361</v>
      </c>
      <c r="C354" s="14" t="s">
        <v>14</v>
      </c>
      <c r="D354" s="14" t="s">
        <v>22</v>
      </c>
      <c r="E354" s="14" t="s">
        <v>16</v>
      </c>
      <c r="F354" s="14" t="s">
        <v>64</v>
      </c>
      <c r="G354" s="14">
        <v>10</v>
      </c>
      <c r="H354" s="14">
        <v>295</v>
      </c>
      <c r="I354" s="14">
        <v>2950</v>
      </c>
      <c r="J354" s="14">
        <v>1562.59</v>
      </c>
      <c r="K354" s="14">
        <v>1387.41</v>
      </c>
      <c r="L354" s="14" t="s">
        <v>25</v>
      </c>
      <c r="M354" s="14" t="s">
        <v>26</v>
      </c>
    </row>
    <row r="355" spans="1:13" x14ac:dyDescent="0.25">
      <c r="A355" s="14" t="s">
        <v>392</v>
      </c>
      <c r="B355" s="15">
        <v>45390</v>
      </c>
      <c r="C355" s="14" t="s">
        <v>14</v>
      </c>
      <c r="D355" s="14" t="s">
        <v>15</v>
      </c>
      <c r="E355" s="14" t="s">
        <v>23</v>
      </c>
      <c r="F355" s="14" t="s">
        <v>39</v>
      </c>
      <c r="G355" s="14">
        <v>6</v>
      </c>
      <c r="H355" s="14">
        <v>413</v>
      </c>
      <c r="I355" s="14">
        <v>2478</v>
      </c>
      <c r="J355" s="14">
        <v>1565.73</v>
      </c>
      <c r="K355" s="14">
        <v>912.27</v>
      </c>
      <c r="L355" s="14" t="s">
        <v>18</v>
      </c>
      <c r="M355" s="14" t="s">
        <v>19</v>
      </c>
    </row>
    <row r="356" spans="1:13" x14ac:dyDescent="0.25">
      <c r="A356" s="14" t="s">
        <v>393</v>
      </c>
      <c r="B356" s="15">
        <v>45354</v>
      </c>
      <c r="C356" s="14" t="s">
        <v>21</v>
      </c>
      <c r="D356" s="14" t="s">
        <v>15</v>
      </c>
      <c r="E356" s="14" t="s">
        <v>16</v>
      </c>
      <c r="F356" s="14" t="s">
        <v>64</v>
      </c>
      <c r="G356" s="14">
        <v>4</v>
      </c>
      <c r="H356" s="14">
        <v>562</v>
      </c>
      <c r="I356" s="14">
        <v>2248</v>
      </c>
      <c r="J356" s="14">
        <v>1293.77</v>
      </c>
      <c r="K356" s="14">
        <v>954.23</v>
      </c>
      <c r="L356" s="14" t="s">
        <v>18</v>
      </c>
      <c r="M356" s="14" t="s">
        <v>30</v>
      </c>
    </row>
    <row r="357" spans="1:13" x14ac:dyDescent="0.25">
      <c r="A357" s="14" t="s">
        <v>394</v>
      </c>
      <c r="B357" s="15">
        <v>45435</v>
      </c>
      <c r="C357" s="14" t="s">
        <v>21</v>
      </c>
      <c r="D357" s="14" t="s">
        <v>15</v>
      </c>
      <c r="E357" s="14" t="s">
        <v>16</v>
      </c>
      <c r="F357" s="14" t="s">
        <v>64</v>
      </c>
      <c r="G357" s="14">
        <v>4</v>
      </c>
      <c r="H357" s="14">
        <v>918</v>
      </c>
      <c r="I357" s="14">
        <v>3672</v>
      </c>
      <c r="J357" s="14">
        <v>1917.85</v>
      </c>
      <c r="K357" s="14">
        <v>1754.15</v>
      </c>
      <c r="L357" s="14" t="s">
        <v>18</v>
      </c>
      <c r="M357" s="14" t="s">
        <v>30</v>
      </c>
    </row>
    <row r="358" spans="1:13" x14ac:dyDescent="0.25">
      <c r="A358" s="14" t="s">
        <v>395</v>
      </c>
      <c r="B358" s="15">
        <v>45444</v>
      </c>
      <c r="C358" s="14" t="s">
        <v>38</v>
      </c>
      <c r="D358" s="14" t="s">
        <v>42</v>
      </c>
      <c r="E358" s="14" t="s">
        <v>34</v>
      </c>
      <c r="F358" s="14" t="s">
        <v>53</v>
      </c>
      <c r="G358" s="14">
        <v>2</v>
      </c>
      <c r="H358" s="14">
        <v>940</v>
      </c>
      <c r="I358" s="14">
        <v>1880</v>
      </c>
      <c r="J358" s="14">
        <v>1418.07</v>
      </c>
      <c r="K358" s="14">
        <v>461.93</v>
      </c>
      <c r="L358" s="14" t="s">
        <v>25</v>
      </c>
      <c r="M358" s="14" t="s">
        <v>26</v>
      </c>
    </row>
    <row r="359" spans="1:13" x14ac:dyDescent="0.25">
      <c r="A359" s="14" t="s">
        <v>396</v>
      </c>
      <c r="B359" s="15">
        <v>45450</v>
      </c>
      <c r="C359" s="14" t="s">
        <v>41</v>
      </c>
      <c r="D359" s="14" t="s">
        <v>42</v>
      </c>
      <c r="E359" s="14" t="s">
        <v>16</v>
      </c>
      <c r="F359" s="14" t="s">
        <v>29</v>
      </c>
      <c r="G359" s="14">
        <v>7</v>
      </c>
      <c r="H359" s="14">
        <v>203</v>
      </c>
      <c r="I359" s="14">
        <v>1421</v>
      </c>
      <c r="J359" s="14">
        <v>835.98</v>
      </c>
      <c r="K359" s="14">
        <v>585.02</v>
      </c>
      <c r="L359" s="14" t="s">
        <v>18</v>
      </c>
      <c r="M359" s="14" t="s">
        <v>44</v>
      </c>
    </row>
    <row r="360" spans="1:13" x14ac:dyDescent="0.25">
      <c r="A360" s="14" t="s">
        <v>397</v>
      </c>
      <c r="B360" s="15">
        <v>45374</v>
      </c>
      <c r="C360" s="14" t="s">
        <v>41</v>
      </c>
      <c r="D360" s="14" t="s">
        <v>28</v>
      </c>
      <c r="E360" s="14" t="s">
        <v>34</v>
      </c>
      <c r="F360" s="14" t="s">
        <v>47</v>
      </c>
      <c r="G360" s="14">
        <v>9</v>
      </c>
      <c r="H360" s="14">
        <v>614</v>
      </c>
      <c r="I360" s="14">
        <v>5526</v>
      </c>
      <c r="J360" s="14">
        <v>3724.29</v>
      </c>
      <c r="K360" s="14">
        <v>1801.71</v>
      </c>
      <c r="L360" s="14" t="s">
        <v>18</v>
      </c>
      <c r="M360" s="14" t="s">
        <v>26</v>
      </c>
    </row>
    <row r="361" spans="1:13" x14ac:dyDescent="0.25">
      <c r="A361" s="14" t="s">
        <v>398</v>
      </c>
      <c r="B361" s="15">
        <v>45558</v>
      </c>
      <c r="C361" s="14" t="s">
        <v>14</v>
      </c>
      <c r="D361" s="14" t="s">
        <v>15</v>
      </c>
      <c r="E361" s="14" t="s">
        <v>34</v>
      </c>
      <c r="F361" s="14" t="s">
        <v>53</v>
      </c>
      <c r="G361" s="14">
        <v>2</v>
      </c>
      <c r="H361" s="14">
        <v>737</v>
      </c>
      <c r="I361" s="14">
        <v>1474</v>
      </c>
      <c r="J361" s="14">
        <v>806.69</v>
      </c>
      <c r="K361" s="14">
        <v>667.31</v>
      </c>
      <c r="L361" s="14" t="s">
        <v>25</v>
      </c>
      <c r="M361" s="14" t="s">
        <v>19</v>
      </c>
    </row>
    <row r="362" spans="1:13" x14ac:dyDescent="0.25">
      <c r="A362" s="14" t="s">
        <v>399</v>
      </c>
      <c r="B362" s="15">
        <v>45362</v>
      </c>
      <c r="C362" s="14" t="s">
        <v>14</v>
      </c>
      <c r="D362" s="14" t="s">
        <v>28</v>
      </c>
      <c r="E362" s="14" t="s">
        <v>23</v>
      </c>
      <c r="F362" s="14" t="s">
        <v>43</v>
      </c>
      <c r="G362" s="14">
        <v>6</v>
      </c>
      <c r="H362" s="14">
        <v>597</v>
      </c>
      <c r="I362" s="14">
        <v>3582</v>
      </c>
      <c r="J362" s="14">
        <v>2494.2199999999998</v>
      </c>
      <c r="K362" s="14">
        <v>1087.78</v>
      </c>
      <c r="L362" s="14" t="s">
        <v>25</v>
      </c>
      <c r="M362" s="14" t="s">
        <v>44</v>
      </c>
    </row>
    <row r="363" spans="1:13" x14ac:dyDescent="0.25">
      <c r="A363" s="14" t="s">
        <v>400</v>
      </c>
      <c r="B363" s="15">
        <v>45342</v>
      </c>
      <c r="C363" s="14" t="s">
        <v>38</v>
      </c>
      <c r="D363" s="14" t="s">
        <v>22</v>
      </c>
      <c r="E363" s="14" t="s">
        <v>34</v>
      </c>
      <c r="F363" s="14" t="s">
        <v>47</v>
      </c>
      <c r="G363" s="14">
        <v>6</v>
      </c>
      <c r="H363" s="14">
        <v>95</v>
      </c>
      <c r="I363" s="14">
        <v>570</v>
      </c>
      <c r="J363" s="14">
        <v>296.61</v>
      </c>
      <c r="K363" s="14">
        <v>273.39</v>
      </c>
      <c r="L363" s="14" t="s">
        <v>25</v>
      </c>
      <c r="M363" s="14" t="s">
        <v>30</v>
      </c>
    </row>
    <row r="364" spans="1:13" x14ac:dyDescent="0.25">
      <c r="A364" s="14" t="s">
        <v>401</v>
      </c>
      <c r="B364" s="15">
        <v>45334</v>
      </c>
      <c r="C364" s="14" t="s">
        <v>41</v>
      </c>
      <c r="D364" s="14" t="s">
        <v>28</v>
      </c>
      <c r="E364" s="14" t="s">
        <v>23</v>
      </c>
      <c r="F364" s="14" t="s">
        <v>39</v>
      </c>
      <c r="G364" s="14">
        <v>10</v>
      </c>
      <c r="H364" s="14">
        <v>64</v>
      </c>
      <c r="I364" s="14">
        <v>640</v>
      </c>
      <c r="J364" s="14">
        <v>348.79</v>
      </c>
      <c r="K364" s="14">
        <v>291.20999999999998</v>
      </c>
      <c r="L364" s="14" t="s">
        <v>18</v>
      </c>
      <c r="M364" s="14" t="s">
        <v>30</v>
      </c>
    </row>
    <row r="365" spans="1:13" x14ac:dyDescent="0.25">
      <c r="A365" s="14" t="s">
        <v>402</v>
      </c>
      <c r="B365" s="15">
        <v>45514</v>
      </c>
      <c r="C365" s="14" t="s">
        <v>21</v>
      </c>
      <c r="D365" s="14" t="s">
        <v>28</v>
      </c>
      <c r="E365" s="14" t="s">
        <v>16</v>
      </c>
      <c r="F365" s="14" t="s">
        <v>17</v>
      </c>
      <c r="G365" s="14">
        <v>8</v>
      </c>
      <c r="H365" s="14">
        <v>609</v>
      </c>
      <c r="I365" s="14">
        <v>4872</v>
      </c>
      <c r="J365" s="14">
        <v>2555.6</v>
      </c>
      <c r="K365" s="14">
        <v>2316.4</v>
      </c>
      <c r="L365" s="14" t="s">
        <v>25</v>
      </c>
      <c r="M365" s="14" t="s">
        <v>19</v>
      </c>
    </row>
    <row r="366" spans="1:13" x14ac:dyDescent="0.25">
      <c r="A366" s="14" t="s">
        <v>403</v>
      </c>
      <c r="B366" s="15">
        <v>45377</v>
      </c>
      <c r="C366" s="14" t="s">
        <v>14</v>
      </c>
      <c r="D366" s="14" t="s">
        <v>22</v>
      </c>
      <c r="E366" s="14" t="s">
        <v>16</v>
      </c>
      <c r="F366" s="14" t="s">
        <v>29</v>
      </c>
      <c r="G366" s="14">
        <v>6</v>
      </c>
      <c r="H366" s="14">
        <v>115</v>
      </c>
      <c r="I366" s="14">
        <v>690</v>
      </c>
      <c r="J366" s="14">
        <v>364.63</v>
      </c>
      <c r="K366" s="14">
        <v>325.37</v>
      </c>
      <c r="L366" s="14" t="s">
        <v>18</v>
      </c>
      <c r="M366" s="14" t="s">
        <v>26</v>
      </c>
    </row>
    <row r="367" spans="1:13" x14ac:dyDescent="0.25">
      <c r="A367" s="14" t="s">
        <v>404</v>
      </c>
      <c r="B367" s="15">
        <v>45371</v>
      </c>
      <c r="C367" s="14" t="s">
        <v>14</v>
      </c>
      <c r="D367" s="14" t="s">
        <v>15</v>
      </c>
      <c r="E367" s="14" t="s">
        <v>23</v>
      </c>
      <c r="F367" s="14" t="s">
        <v>39</v>
      </c>
      <c r="G367" s="14">
        <v>7</v>
      </c>
      <c r="H367" s="14">
        <v>175</v>
      </c>
      <c r="I367" s="14">
        <v>1225</v>
      </c>
      <c r="J367" s="14">
        <v>893.34</v>
      </c>
      <c r="K367" s="14">
        <v>331.66</v>
      </c>
      <c r="L367" s="14" t="s">
        <v>18</v>
      </c>
      <c r="M367" s="14" t="s">
        <v>19</v>
      </c>
    </row>
    <row r="368" spans="1:13" x14ac:dyDescent="0.25">
      <c r="A368" s="14" t="s">
        <v>405</v>
      </c>
      <c r="B368" s="15">
        <v>45528</v>
      </c>
      <c r="C368" s="14" t="s">
        <v>41</v>
      </c>
      <c r="D368" s="14" t="s">
        <v>42</v>
      </c>
      <c r="E368" s="14" t="s">
        <v>34</v>
      </c>
      <c r="F368" s="14" t="s">
        <v>35</v>
      </c>
      <c r="G368" s="14">
        <v>7</v>
      </c>
      <c r="H368" s="14">
        <v>675</v>
      </c>
      <c r="I368" s="14">
        <v>4725</v>
      </c>
      <c r="J368" s="14">
        <v>2513.04</v>
      </c>
      <c r="K368" s="14">
        <v>2211.96</v>
      </c>
      <c r="L368" s="14" t="s">
        <v>25</v>
      </c>
      <c r="M368" s="14" t="s">
        <v>26</v>
      </c>
    </row>
    <row r="369" spans="1:13" x14ac:dyDescent="0.25">
      <c r="A369" s="14" t="s">
        <v>406</v>
      </c>
      <c r="B369" s="15">
        <v>45468</v>
      </c>
      <c r="C369" s="14" t="s">
        <v>14</v>
      </c>
      <c r="D369" s="14" t="s">
        <v>28</v>
      </c>
      <c r="E369" s="14" t="s">
        <v>16</v>
      </c>
      <c r="F369" s="14" t="s">
        <v>64</v>
      </c>
      <c r="G369" s="14">
        <v>2</v>
      </c>
      <c r="H369" s="14">
        <v>890</v>
      </c>
      <c r="I369" s="14">
        <v>1780</v>
      </c>
      <c r="J369" s="14">
        <v>966.07</v>
      </c>
      <c r="K369" s="14">
        <v>813.93</v>
      </c>
      <c r="L369" s="14" t="s">
        <v>18</v>
      </c>
      <c r="M369" s="14" t="s">
        <v>30</v>
      </c>
    </row>
    <row r="370" spans="1:13" x14ac:dyDescent="0.25">
      <c r="A370" s="14" t="s">
        <v>407</v>
      </c>
      <c r="B370" s="15">
        <v>45505</v>
      </c>
      <c r="C370" s="14" t="s">
        <v>38</v>
      </c>
      <c r="D370" s="14" t="s">
        <v>42</v>
      </c>
      <c r="E370" s="14" t="s">
        <v>23</v>
      </c>
      <c r="F370" s="14" t="s">
        <v>43</v>
      </c>
      <c r="G370" s="14">
        <v>7</v>
      </c>
      <c r="H370" s="14">
        <v>171</v>
      </c>
      <c r="I370" s="14">
        <v>1197</v>
      </c>
      <c r="J370" s="14">
        <v>954.03</v>
      </c>
      <c r="K370" s="14">
        <v>242.97</v>
      </c>
      <c r="L370" s="14" t="s">
        <v>18</v>
      </c>
      <c r="M370" s="14" t="s">
        <v>26</v>
      </c>
    </row>
    <row r="371" spans="1:13" x14ac:dyDescent="0.25">
      <c r="A371" s="14" t="s">
        <v>408</v>
      </c>
      <c r="B371" s="15">
        <v>45577</v>
      </c>
      <c r="C371" s="14" t="s">
        <v>41</v>
      </c>
      <c r="D371" s="14" t="s">
        <v>22</v>
      </c>
      <c r="E371" s="14" t="s">
        <v>34</v>
      </c>
      <c r="F371" s="14" t="s">
        <v>53</v>
      </c>
      <c r="G371" s="14">
        <v>6</v>
      </c>
      <c r="H371" s="14">
        <v>59</v>
      </c>
      <c r="I371" s="14">
        <v>354</v>
      </c>
      <c r="J371" s="14">
        <v>221.41</v>
      </c>
      <c r="K371" s="14">
        <v>132.59</v>
      </c>
      <c r="L371" s="14" t="s">
        <v>18</v>
      </c>
      <c r="M371" s="14" t="s">
        <v>19</v>
      </c>
    </row>
    <row r="372" spans="1:13" x14ac:dyDescent="0.25">
      <c r="A372" s="14" t="s">
        <v>409</v>
      </c>
      <c r="B372" s="15">
        <v>45423</v>
      </c>
      <c r="C372" s="14" t="s">
        <v>41</v>
      </c>
      <c r="D372" s="14" t="s">
        <v>22</v>
      </c>
      <c r="E372" s="14" t="s">
        <v>16</v>
      </c>
      <c r="F372" s="14" t="s">
        <v>64</v>
      </c>
      <c r="G372" s="14">
        <v>1</v>
      </c>
      <c r="H372" s="14">
        <v>220</v>
      </c>
      <c r="I372" s="14">
        <v>220</v>
      </c>
      <c r="J372" s="14">
        <v>110.41</v>
      </c>
      <c r="K372" s="14">
        <v>109.59</v>
      </c>
      <c r="L372" s="14" t="s">
        <v>18</v>
      </c>
      <c r="M372" s="14" t="s">
        <v>26</v>
      </c>
    </row>
    <row r="373" spans="1:13" x14ac:dyDescent="0.25">
      <c r="A373" s="14" t="s">
        <v>410</v>
      </c>
      <c r="B373" s="15">
        <v>45533</v>
      </c>
      <c r="C373" s="14" t="s">
        <v>21</v>
      </c>
      <c r="D373" s="14" t="s">
        <v>42</v>
      </c>
      <c r="E373" s="14" t="s">
        <v>16</v>
      </c>
      <c r="F373" s="14" t="s">
        <v>29</v>
      </c>
      <c r="G373" s="14">
        <v>9</v>
      </c>
      <c r="H373" s="14">
        <v>312</v>
      </c>
      <c r="I373" s="14">
        <v>2808</v>
      </c>
      <c r="J373" s="14">
        <v>1443.5</v>
      </c>
      <c r="K373" s="14">
        <v>1364.5</v>
      </c>
      <c r="L373" s="14" t="s">
        <v>18</v>
      </c>
      <c r="M373" s="14" t="s">
        <v>30</v>
      </c>
    </row>
    <row r="374" spans="1:13" x14ac:dyDescent="0.25">
      <c r="A374" s="14" t="s">
        <v>411</v>
      </c>
      <c r="B374" s="15">
        <v>45534</v>
      </c>
      <c r="C374" s="14" t="s">
        <v>41</v>
      </c>
      <c r="D374" s="14" t="s">
        <v>22</v>
      </c>
      <c r="E374" s="14" t="s">
        <v>23</v>
      </c>
      <c r="F374" s="14" t="s">
        <v>43</v>
      </c>
      <c r="G374" s="14">
        <v>2</v>
      </c>
      <c r="H374" s="14">
        <v>123</v>
      </c>
      <c r="I374" s="14">
        <v>246</v>
      </c>
      <c r="J374" s="14">
        <v>131.62</v>
      </c>
      <c r="K374" s="14">
        <v>114.38</v>
      </c>
      <c r="L374" s="14" t="s">
        <v>25</v>
      </c>
      <c r="M374" s="14" t="s">
        <v>26</v>
      </c>
    </row>
    <row r="375" spans="1:13" x14ac:dyDescent="0.25">
      <c r="A375" s="14" t="s">
        <v>412</v>
      </c>
      <c r="B375" s="15">
        <v>45410</v>
      </c>
      <c r="C375" s="14" t="s">
        <v>41</v>
      </c>
      <c r="D375" s="14" t="s">
        <v>22</v>
      </c>
      <c r="E375" s="14" t="s">
        <v>34</v>
      </c>
      <c r="F375" s="14" t="s">
        <v>53</v>
      </c>
      <c r="G375" s="14">
        <v>3</v>
      </c>
      <c r="H375" s="14">
        <v>632</v>
      </c>
      <c r="I375" s="14">
        <v>1896</v>
      </c>
      <c r="J375" s="14">
        <v>1055.48</v>
      </c>
      <c r="K375" s="14">
        <v>840.52</v>
      </c>
      <c r="L375" s="14" t="s">
        <v>25</v>
      </c>
      <c r="M375" s="14" t="s">
        <v>19</v>
      </c>
    </row>
    <row r="376" spans="1:13" x14ac:dyDescent="0.25">
      <c r="A376" s="14" t="s">
        <v>413</v>
      </c>
      <c r="B376" s="15">
        <v>45591</v>
      </c>
      <c r="C376" s="14" t="s">
        <v>41</v>
      </c>
      <c r="D376" s="14" t="s">
        <v>22</v>
      </c>
      <c r="E376" s="14" t="s">
        <v>16</v>
      </c>
      <c r="F376" s="14" t="s">
        <v>17</v>
      </c>
      <c r="G376" s="14">
        <v>9</v>
      </c>
      <c r="H376" s="14">
        <v>967</v>
      </c>
      <c r="I376" s="14">
        <v>8703</v>
      </c>
      <c r="J376" s="14">
        <v>6837.73</v>
      </c>
      <c r="K376" s="14">
        <v>1865.27</v>
      </c>
      <c r="L376" s="14" t="s">
        <v>25</v>
      </c>
      <c r="M376" s="14" t="s">
        <v>26</v>
      </c>
    </row>
    <row r="377" spans="1:13" x14ac:dyDescent="0.25">
      <c r="A377" s="14" t="s">
        <v>414</v>
      </c>
      <c r="B377" s="15">
        <v>45581</v>
      </c>
      <c r="C377" s="14" t="s">
        <v>41</v>
      </c>
      <c r="D377" s="14" t="s">
        <v>42</v>
      </c>
      <c r="E377" s="14" t="s">
        <v>16</v>
      </c>
      <c r="F377" s="14" t="s">
        <v>17</v>
      </c>
      <c r="G377" s="14">
        <v>4</v>
      </c>
      <c r="H377" s="14">
        <v>479</v>
      </c>
      <c r="I377" s="14">
        <v>1916</v>
      </c>
      <c r="J377" s="14">
        <v>1214.03</v>
      </c>
      <c r="K377" s="14">
        <v>701.97</v>
      </c>
      <c r="L377" s="14" t="s">
        <v>18</v>
      </c>
      <c r="M377" s="14" t="s">
        <v>30</v>
      </c>
    </row>
    <row r="378" spans="1:13" x14ac:dyDescent="0.25">
      <c r="A378" s="14" t="s">
        <v>415</v>
      </c>
      <c r="B378" s="15">
        <v>45304</v>
      </c>
      <c r="C378" s="14" t="s">
        <v>41</v>
      </c>
      <c r="D378" s="14" t="s">
        <v>42</v>
      </c>
      <c r="E378" s="14" t="s">
        <v>16</v>
      </c>
      <c r="F378" s="14" t="s">
        <v>29</v>
      </c>
      <c r="G378" s="14">
        <v>6</v>
      </c>
      <c r="H378" s="14">
        <v>809</v>
      </c>
      <c r="I378" s="14">
        <v>4854</v>
      </c>
      <c r="J378" s="14">
        <v>3583.7</v>
      </c>
      <c r="K378" s="14">
        <v>1270.3</v>
      </c>
      <c r="L378" s="14" t="s">
        <v>25</v>
      </c>
      <c r="M378" s="14" t="s">
        <v>19</v>
      </c>
    </row>
    <row r="379" spans="1:13" x14ac:dyDescent="0.25">
      <c r="A379" s="14" t="s">
        <v>416</v>
      </c>
      <c r="B379" s="15">
        <v>45589</v>
      </c>
      <c r="C379" s="14" t="s">
        <v>14</v>
      </c>
      <c r="D379" s="14" t="s">
        <v>15</v>
      </c>
      <c r="E379" s="14" t="s">
        <v>34</v>
      </c>
      <c r="F379" s="14" t="s">
        <v>47</v>
      </c>
      <c r="G379" s="14">
        <v>4</v>
      </c>
      <c r="H379" s="14">
        <v>934</v>
      </c>
      <c r="I379" s="14">
        <v>3736</v>
      </c>
      <c r="J379" s="14">
        <v>2287.9299999999998</v>
      </c>
      <c r="K379" s="14">
        <v>1448.07</v>
      </c>
      <c r="L379" s="14" t="s">
        <v>25</v>
      </c>
      <c r="M379" s="14" t="s">
        <v>44</v>
      </c>
    </row>
    <row r="380" spans="1:13" x14ac:dyDescent="0.25">
      <c r="A380" s="14" t="s">
        <v>417</v>
      </c>
      <c r="B380" s="15">
        <v>45508</v>
      </c>
      <c r="C380" s="14" t="s">
        <v>21</v>
      </c>
      <c r="D380" s="14" t="s">
        <v>42</v>
      </c>
      <c r="E380" s="14" t="s">
        <v>16</v>
      </c>
      <c r="F380" s="14" t="s">
        <v>17</v>
      </c>
      <c r="G380" s="14">
        <v>8</v>
      </c>
      <c r="H380" s="14">
        <v>509</v>
      </c>
      <c r="I380" s="14">
        <v>4072</v>
      </c>
      <c r="J380" s="14">
        <v>3184.96</v>
      </c>
      <c r="K380" s="14">
        <v>887.04</v>
      </c>
      <c r="L380" s="14" t="s">
        <v>25</v>
      </c>
      <c r="M380" s="14" t="s">
        <v>26</v>
      </c>
    </row>
    <row r="381" spans="1:13" x14ac:dyDescent="0.25">
      <c r="A381" s="14" t="s">
        <v>418</v>
      </c>
      <c r="B381" s="15">
        <v>45571</v>
      </c>
      <c r="C381" s="14" t="s">
        <v>38</v>
      </c>
      <c r="D381" s="14" t="s">
        <v>15</v>
      </c>
      <c r="E381" s="14" t="s">
        <v>23</v>
      </c>
      <c r="F381" s="14" t="s">
        <v>24</v>
      </c>
      <c r="G381" s="14">
        <v>3</v>
      </c>
      <c r="H381" s="14">
        <v>621</v>
      </c>
      <c r="I381" s="14">
        <v>1863</v>
      </c>
      <c r="J381" s="14">
        <v>1352.51</v>
      </c>
      <c r="K381" s="14">
        <v>510.49</v>
      </c>
      <c r="L381" s="14" t="s">
        <v>25</v>
      </c>
      <c r="M381" s="14" t="s">
        <v>44</v>
      </c>
    </row>
    <row r="382" spans="1:13" x14ac:dyDescent="0.25">
      <c r="A382" s="14" t="s">
        <v>419</v>
      </c>
      <c r="B382" s="15">
        <v>45445</v>
      </c>
      <c r="C382" s="14" t="s">
        <v>41</v>
      </c>
      <c r="D382" s="14" t="s">
        <v>28</v>
      </c>
      <c r="E382" s="14" t="s">
        <v>16</v>
      </c>
      <c r="F382" s="14" t="s">
        <v>64</v>
      </c>
      <c r="G382" s="14">
        <v>10</v>
      </c>
      <c r="H382" s="14">
        <v>498</v>
      </c>
      <c r="I382" s="14">
        <v>4980</v>
      </c>
      <c r="J382" s="14">
        <v>3611.61</v>
      </c>
      <c r="K382" s="14">
        <v>1368.39</v>
      </c>
      <c r="L382" s="14" t="s">
        <v>25</v>
      </c>
      <c r="M382" s="14" t="s">
        <v>44</v>
      </c>
    </row>
    <row r="383" spans="1:13" x14ac:dyDescent="0.25">
      <c r="A383" s="14" t="s">
        <v>420</v>
      </c>
      <c r="B383" s="15">
        <v>45508</v>
      </c>
      <c r="C383" s="14" t="s">
        <v>21</v>
      </c>
      <c r="D383" s="14" t="s">
        <v>22</v>
      </c>
      <c r="E383" s="14" t="s">
        <v>23</v>
      </c>
      <c r="F383" s="14" t="s">
        <v>43</v>
      </c>
      <c r="G383" s="14">
        <v>10</v>
      </c>
      <c r="H383" s="14">
        <v>597</v>
      </c>
      <c r="I383" s="14">
        <v>5970</v>
      </c>
      <c r="J383" s="14">
        <v>3415.95</v>
      </c>
      <c r="K383" s="14">
        <v>2554.0500000000002</v>
      </c>
      <c r="L383" s="14" t="s">
        <v>18</v>
      </c>
      <c r="M383" s="14" t="s">
        <v>19</v>
      </c>
    </row>
    <row r="384" spans="1:13" x14ac:dyDescent="0.25">
      <c r="A384" s="14" t="s">
        <v>421</v>
      </c>
      <c r="B384" s="15">
        <v>45433</v>
      </c>
      <c r="C384" s="14" t="s">
        <v>41</v>
      </c>
      <c r="D384" s="14" t="s">
        <v>22</v>
      </c>
      <c r="E384" s="14" t="s">
        <v>34</v>
      </c>
      <c r="F384" s="14" t="s">
        <v>35</v>
      </c>
      <c r="G384" s="14">
        <v>6</v>
      </c>
      <c r="H384" s="14">
        <v>228</v>
      </c>
      <c r="I384" s="14">
        <v>1368</v>
      </c>
      <c r="J384" s="14">
        <v>708.94</v>
      </c>
      <c r="K384" s="14">
        <v>659.06</v>
      </c>
      <c r="L384" s="14" t="s">
        <v>25</v>
      </c>
      <c r="M384" s="14" t="s">
        <v>26</v>
      </c>
    </row>
    <row r="385" spans="1:13" x14ac:dyDescent="0.25">
      <c r="A385" s="14" t="s">
        <v>422</v>
      </c>
      <c r="B385" s="15">
        <v>45327</v>
      </c>
      <c r="C385" s="14" t="s">
        <v>38</v>
      </c>
      <c r="D385" s="14" t="s">
        <v>42</v>
      </c>
      <c r="E385" s="14" t="s">
        <v>23</v>
      </c>
      <c r="F385" s="14" t="s">
        <v>24</v>
      </c>
      <c r="G385" s="14">
        <v>3</v>
      </c>
      <c r="H385" s="14">
        <v>537</v>
      </c>
      <c r="I385" s="14">
        <v>1611</v>
      </c>
      <c r="J385" s="14">
        <v>1147.5999999999999</v>
      </c>
      <c r="K385" s="14">
        <v>463.4</v>
      </c>
      <c r="L385" s="14" t="s">
        <v>25</v>
      </c>
      <c r="M385" s="14" t="s">
        <v>19</v>
      </c>
    </row>
    <row r="386" spans="1:13" x14ac:dyDescent="0.25">
      <c r="A386" s="14" t="s">
        <v>423</v>
      </c>
      <c r="B386" s="15">
        <v>45421</v>
      </c>
      <c r="C386" s="14" t="s">
        <v>21</v>
      </c>
      <c r="D386" s="14" t="s">
        <v>22</v>
      </c>
      <c r="E386" s="14" t="s">
        <v>23</v>
      </c>
      <c r="F386" s="14" t="s">
        <v>24</v>
      </c>
      <c r="G386" s="14">
        <v>9</v>
      </c>
      <c r="H386" s="14">
        <v>607</v>
      </c>
      <c r="I386" s="14">
        <v>5463</v>
      </c>
      <c r="J386" s="14">
        <v>4111.03</v>
      </c>
      <c r="K386" s="14">
        <v>1351.97</v>
      </c>
      <c r="L386" s="14" t="s">
        <v>18</v>
      </c>
      <c r="M386" s="14" t="s">
        <v>44</v>
      </c>
    </row>
    <row r="387" spans="1:13" x14ac:dyDescent="0.25">
      <c r="A387" s="14" t="s">
        <v>424</v>
      </c>
      <c r="B387" s="15">
        <v>45390</v>
      </c>
      <c r="C387" s="14" t="s">
        <v>41</v>
      </c>
      <c r="D387" s="14" t="s">
        <v>28</v>
      </c>
      <c r="E387" s="14" t="s">
        <v>16</v>
      </c>
      <c r="F387" s="14" t="s">
        <v>17</v>
      </c>
      <c r="G387" s="14">
        <v>5</v>
      </c>
      <c r="H387" s="14">
        <v>62</v>
      </c>
      <c r="I387" s="14">
        <v>310</v>
      </c>
      <c r="J387" s="14">
        <v>158.85</v>
      </c>
      <c r="K387" s="14">
        <v>151.15</v>
      </c>
      <c r="L387" s="14" t="s">
        <v>18</v>
      </c>
      <c r="M387" s="14" t="s">
        <v>26</v>
      </c>
    </row>
    <row r="388" spans="1:13" x14ac:dyDescent="0.25">
      <c r="A388" s="14" t="s">
        <v>425</v>
      </c>
      <c r="B388" s="15">
        <v>45333</v>
      </c>
      <c r="C388" s="14" t="s">
        <v>38</v>
      </c>
      <c r="D388" s="14" t="s">
        <v>42</v>
      </c>
      <c r="E388" s="14" t="s">
        <v>23</v>
      </c>
      <c r="F388" s="14" t="s">
        <v>39</v>
      </c>
      <c r="G388" s="14">
        <v>6</v>
      </c>
      <c r="H388" s="14">
        <v>322</v>
      </c>
      <c r="I388" s="14">
        <v>1932</v>
      </c>
      <c r="J388" s="14">
        <v>1261.4000000000001</v>
      </c>
      <c r="K388" s="14">
        <v>670.6</v>
      </c>
      <c r="L388" s="14" t="s">
        <v>18</v>
      </c>
      <c r="M388" s="14" t="s">
        <v>30</v>
      </c>
    </row>
    <row r="389" spans="1:13" x14ac:dyDescent="0.25">
      <c r="A389" s="14" t="s">
        <v>426</v>
      </c>
      <c r="B389" s="15">
        <v>45449</v>
      </c>
      <c r="C389" s="14" t="s">
        <v>38</v>
      </c>
      <c r="D389" s="14" t="s">
        <v>15</v>
      </c>
      <c r="E389" s="14" t="s">
        <v>16</v>
      </c>
      <c r="F389" s="14" t="s">
        <v>17</v>
      </c>
      <c r="G389" s="14">
        <v>9</v>
      </c>
      <c r="H389" s="14">
        <v>477</v>
      </c>
      <c r="I389" s="14">
        <v>4293</v>
      </c>
      <c r="J389" s="14">
        <v>2269.67</v>
      </c>
      <c r="K389" s="14">
        <v>2023.33</v>
      </c>
      <c r="L389" s="14" t="s">
        <v>18</v>
      </c>
      <c r="M389" s="14" t="s">
        <v>26</v>
      </c>
    </row>
    <row r="390" spans="1:13" x14ac:dyDescent="0.25">
      <c r="A390" s="14" t="s">
        <v>427</v>
      </c>
      <c r="B390" s="15">
        <v>45573</v>
      </c>
      <c r="C390" s="14" t="s">
        <v>41</v>
      </c>
      <c r="D390" s="14" t="s">
        <v>22</v>
      </c>
      <c r="E390" s="14" t="s">
        <v>34</v>
      </c>
      <c r="F390" s="14" t="s">
        <v>35</v>
      </c>
      <c r="G390" s="14">
        <v>6</v>
      </c>
      <c r="H390" s="14">
        <v>488</v>
      </c>
      <c r="I390" s="14">
        <v>2928</v>
      </c>
      <c r="J390" s="14">
        <v>2316.41</v>
      </c>
      <c r="K390" s="14">
        <v>611.59</v>
      </c>
      <c r="L390" s="14" t="s">
        <v>25</v>
      </c>
      <c r="M390" s="14" t="s">
        <v>30</v>
      </c>
    </row>
    <row r="391" spans="1:13" x14ac:dyDescent="0.25">
      <c r="A391" s="14" t="s">
        <v>428</v>
      </c>
      <c r="B391" s="15">
        <v>45521</v>
      </c>
      <c r="C391" s="14" t="s">
        <v>38</v>
      </c>
      <c r="D391" s="14" t="s">
        <v>42</v>
      </c>
      <c r="E391" s="14" t="s">
        <v>16</v>
      </c>
      <c r="F391" s="14" t="s">
        <v>64</v>
      </c>
      <c r="G391" s="14">
        <v>5</v>
      </c>
      <c r="H391" s="14">
        <v>602</v>
      </c>
      <c r="I391" s="14">
        <v>3010</v>
      </c>
      <c r="J391" s="14">
        <v>1802</v>
      </c>
      <c r="K391" s="14">
        <v>1208</v>
      </c>
      <c r="L391" s="14" t="s">
        <v>18</v>
      </c>
      <c r="M391" s="14" t="s">
        <v>30</v>
      </c>
    </row>
    <row r="392" spans="1:13" x14ac:dyDescent="0.25">
      <c r="A392" s="14" t="s">
        <v>429</v>
      </c>
      <c r="B392" s="15">
        <v>45380</v>
      </c>
      <c r="C392" s="14" t="s">
        <v>38</v>
      </c>
      <c r="D392" s="14" t="s">
        <v>22</v>
      </c>
      <c r="E392" s="14" t="s">
        <v>16</v>
      </c>
      <c r="F392" s="14" t="s">
        <v>17</v>
      </c>
      <c r="G392" s="14">
        <v>4</v>
      </c>
      <c r="H392" s="14">
        <v>865</v>
      </c>
      <c r="I392" s="14">
        <v>3460</v>
      </c>
      <c r="J392" s="14">
        <v>2406.67</v>
      </c>
      <c r="K392" s="14">
        <v>1053.33</v>
      </c>
      <c r="L392" s="14" t="s">
        <v>18</v>
      </c>
      <c r="M392" s="14" t="s">
        <v>44</v>
      </c>
    </row>
    <row r="393" spans="1:13" x14ac:dyDescent="0.25">
      <c r="A393" s="14" t="s">
        <v>430</v>
      </c>
      <c r="B393" s="15">
        <v>45304</v>
      </c>
      <c r="C393" s="14" t="s">
        <v>14</v>
      </c>
      <c r="D393" s="14" t="s">
        <v>42</v>
      </c>
      <c r="E393" s="14" t="s">
        <v>16</v>
      </c>
      <c r="F393" s="14" t="s">
        <v>17</v>
      </c>
      <c r="G393" s="14">
        <v>8</v>
      </c>
      <c r="H393" s="14">
        <v>62</v>
      </c>
      <c r="I393" s="14">
        <v>496</v>
      </c>
      <c r="J393" s="14">
        <v>394.99</v>
      </c>
      <c r="K393" s="14">
        <v>101.01</v>
      </c>
      <c r="L393" s="14" t="s">
        <v>25</v>
      </c>
      <c r="M393" s="14" t="s">
        <v>19</v>
      </c>
    </row>
    <row r="394" spans="1:13" x14ac:dyDescent="0.25">
      <c r="A394" s="14" t="s">
        <v>431</v>
      </c>
      <c r="B394" s="15">
        <v>45405</v>
      </c>
      <c r="C394" s="14" t="s">
        <v>21</v>
      </c>
      <c r="D394" s="14" t="s">
        <v>22</v>
      </c>
      <c r="E394" s="14" t="s">
        <v>23</v>
      </c>
      <c r="F394" s="14" t="s">
        <v>39</v>
      </c>
      <c r="G394" s="14">
        <v>5</v>
      </c>
      <c r="H394" s="14">
        <v>100</v>
      </c>
      <c r="I394" s="14">
        <v>500</v>
      </c>
      <c r="J394" s="14">
        <v>265.88</v>
      </c>
      <c r="K394" s="14">
        <v>234.12</v>
      </c>
      <c r="L394" s="14" t="s">
        <v>18</v>
      </c>
      <c r="M394" s="14" t="s">
        <v>44</v>
      </c>
    </row>
    <row r="395" spans="1:13" x14ac:dyDescent="0.25">
      <c r="A395" s="14" t="s">
        <v>432</v>
      </c>
      <c r="B395" s="15">
        <v>45356</v>
      </c>
      <c r="C395" s="14" t="s">
        <v>14</v>
      </c>
      <c r="D395" s="14" t="s">
        <v>28</v>
      </c>
      <c r="E395" s="14" t="s">
        <v>23</v>
      </c>
      <c r="F395" s="14" t="s">
        <v>24</v>
      </c>
      <c r="G395" s="14">
        <v>6</v>
      </c>
      <c r="H395" s="14">
        <v>770</v>
      </c>
      <c r="I395" s="14">
        <v>4620</v>
      </c>
      <c r="J395" s="14">
        <v>2331.84</v>
      </c>
      <c r="K395" s="14">
        <v>2288.16</v>
      </c>
      <c r="L395" s="14" t="s">
        <v>25</v>
      </c>
      <c r="M395" s="14" t="s">
        <v>44</v>
      </c>
    </row>
    <row r="396" spans="1:13" x14ac:dyDescent="0.25">
      <c r="A396" s="14" t="s">
        <v>433</v>
      </c>
      <c r="B396" s="15">
        <v>45564</v>
      </c>
      <c r="C396" s="14" t="s">
        <v>21</v>
      </c>
      <c r="D396" s="14" t="s">
        <v>42</v>
      </c>
      <c r="E396" s="14" t="s">
        <v>34</v>
      </c>
      <c r="F396" s="14" t="s">
        <v>47</v>
      </c>
      <c r="G396" s="14">
        <v>3</v>
      </c>
      <c r="H396" s="14">
        <v>565</v>
      </c>
      <c r="I396" s="14">
        <v>1695</v>
      </c>
      <c r="J396" s="14">
        <v>1225.01</v>
      </c>
      <c r="K396" s="14">
        <v>469.99</v>
      </c>
      <c r="L396" s="14" t="s">
        <v>25</v>
      </c>
      <c r="M396" s="14" t="s">
        <v>44</v>
      </c>
    </row>
    <row r="397" spans="1:13" x14ac:dyDescent="0.25">
      <c r="A397" s="14" t="s">
        <v>434</v>
      </c>
      <c r="B397" s="15">
        <v>45312</v>
      </c>
      <c r="C397" s="14" t="s">
        <v>38</v>
      </c>
      <c r="D397" s="14" t="s">
        <v>28</v>
      </c>
      <c r="E397" s="14" t="s">
        <v>16</v>
      </c>
      <c r="F397" s="14" t="s">
        <v>29</v>
      </c>
      <c r="G397" s="14">
        <v>3</v>
      </c>
      <c r="H397" s="14">
        <v>555</v>
      </c>
      <c r="I397" s="14">
        <v>1665</v>
      </c>
      <c r="J397" s="14">
        <v>985.17</v>
      </c>
      <c r="K397" s="14">
        <v>679.83</v>
      </c>
      <c r="L397" s="14" t="s">
        <v>18</v>
      </c>
      <c r="M397" s="14" t="s">
        <v>19</v>
      </c>
    </row>
    <row r="398" spans="1:13" x14ac:dyDescent="0.25">
      <c r="A398" s="14" t="s">
        <v>435</v>
      </c>
      <c r="B398" s="15">
        <v>45316</v>
      </c>
      <c r="C398" s="14" t="s">
        <v>21</v>
      </c>
      <c r="D398" s="14" t="s">
        <v>15</v>
      </c>
      <c r="E398" s="14" t="s">
        <v>34</v>
      </c>
      <c r="F398" s="14" t="s">
        <v>53</v>
      </c>
      <c r="G398" s="14">
        <v>3</v>
      </c>
      <c r="H398" s="14">
        <v>424</v>
      </c>
      <c r="I398" s="14">
        <v>1272</v>
      </c>
      <c r="J398" s="14">
        <v>864.74</v>
      </c>
      <c r="K398" s="14">
        <v>407.26</v>
      </c>
      <c r="L398" s="14" t="s">
        <v>18</v>
      </c>
      <c r="M398" s="14" t="s">
        <v>26</v>
      </c>
    </row>
    <row r="399" spans="1:13" x14ac:dyDescent="0.25">
      <c r="A399" s="14" t="s">
        <v>436</v>
      </c>
      <c r="B399" s="15">
        <v>45327</v>
      </c>
      <c r="C399" s="14" t="s">
        <v>41</v>
      </c>
      <c r="D399" s="14" t="s">
        <v>42</v>
      </c>
      <c r="E399" s="14" t="s">
        <v>23</v>
      </c>
      <c r="F399" s="14" t="s">
        <v>43</v>
      </c>
      <c r="G399" s="14">
        <v>3</v>
      </c>
      <c r="H399" s="14">
        <v>112</v>
      </c>
      <c r="I399" s="14">
        <v>336</v>
      </c>
      <c r="J399" s="14">
        <v>237.64</v>
      </c>
      <c r="K399" s="14">
        <v>98.36</v>
      </c>
      <c r="L399" s="14" t="s">
        <v>18</v>
      </c>
      <c r="M399" s="14" t="s">
        <v>26</v>
      </c>
    </row>
    <row r="400" spans="1:13" x14ac:dyDescent="0.25">
      <c r="A400" s="14" t="s">
        <v>437</v>
      </c>
      <c r="B400" s="15">
        <v>45383</v>
      </c>
      <c r="C400" s="14" t="s">
        <v>41</v>
      </c>
      <c r="D400" s="14" t="s">
        <v>42</v>
      </c>
      <c r="E400" s="14" t="s">
        <v>34</v>
      </c>
      <c r="F400" s="14" t="s">
        <v>35</v>
      </c>
      <c r="G400" s="14">
        <v>3</v>
      </c>
      <c r="H400" s="14">
        <v>677</v>
      </c>
      <c r="I400" s="14">
        <v>2031</v>
      </c>
      <c r="J400" s="14">
        <v>1554.49</v>
      </c>
      <c r="K400" s="14">
        <v>476.51</v>
      </c>
      <c r="L400" s="14" t="s">
        <v>18</v>
      </c>
      <c r="M400" s="14" t="s">
        <v>44</v>
      </c>
    </row>
    <row r="401" spans="1:13" x14ac:dyDescent="0.25">
      <c r="A401" s="14" t="s">
        <v>438</v>
      </c>
      <c r="B401" s="15">
        <v>45580</v>
      </c>
      <c r="C401" s="14" t="s">
        <v>41</v>
      </c>
      <c r="D401" s="14" t="s">
        <v>42</v>
      </c>
      <c r="E401" s="14" t="s">
        <v>34</v>
      </c>
      <c r="F401" s="14" t="s">
        <v>53</v>
      </c>
      <c r="G401" s="14">
        <v>6</v>
      </c>
      <c r="H401" s="14">
        <v>58</v>
      </c>
      <c r="I401" s="14">
        <v>348</v>
      </c>
      <c r="J401" s="14">
        <v>187.19</v>
      </c>
      <c r="K401" s="14">
        <v>160.81</v>
      </c>
      <c r="L401" s="14" t="s">
        <v>18</v>
      </c>
      <c r="M401" s="14" t="s">
        <v>26</v>
      </c>
    </row>
    <row r="402" spans="1:13" x14ac:dyDescent="0.25">
      <c r="A402" s="14" t="s">
        <v>439</v>
      </c>
      <c r="B402" s="15">
        <v>45420</v>
      </c>
      <c r="C402" s="14" t="s">
        <v>14</v>
      </c>
      <c r="D402" s="14" t="s">
        <v>15</v>
      </c>
      <c r="E402" s="14" t="s">
        <v>23</v>
      </c>
      <c r="F402" s="14" t="s">
        <v>39</v>
      </c>
      <c r="G402" s="14">
        <v>7</v>
      </c>
      <c r="H402" s="14">
        <v>679</v>
      </c>
      <c r="I402" s="14">
        <v>4753</v>
      </c>
      <c r="J402" s="14">
        <v>3300.45</v>
      </c>
      <c r="K402" s="14">
        <v>1452.55</v>
      </c>
      <c r="L402" s="14" t="s">
        <v>18</v>
      </c>
      <c r="M402" s="14" t="s">
        <v>19</v>
      </c>
    </row>
    <row r="403" spans="1:13" x14ac:dyDescent="0.25">
      <c r="A403" s="14" t="s">
        <v>440</v>
      </c>
      <c r="B403" s="15">
        <v>45322</v>
      </c>
      <c r="C403" s="14" t="s">
        <v>38</v>
      </c>
      <c r="D403" s="14" t="s">
        <v>15</v>
      </c>
      <c r="E403" s="14" t="s">
        <v>34</v>
      </c>
      <c r="F403" s="14" t="s">
        <v>47</v>
      </c>
      <c r="G403" s="14">
        <v>8</v>
      </c>
      <c r="H403" s="14">
        <v>270</v>
      </c>
      <c r="I403" s="14">
        <v>2160</v>
      </c>
      <c r="J403" s="14">
        <v>1427</v>
      </c>
      <c r="K403" s="14">
        <v>733</v>
      </c>
      <c r="L403" s="14" t="s">
        <v>18</v>
      </c>
      <c r="M403" s="14" t="s">
        <v>26</v>
      </c>
    </row>
    <row r="404" spans="1:13" x14ac:dyDescent="0.25">
      <c r="A404" s="14" t="s">
        <v>441</v>
      </c>
      <c r="B404" s="15">
        <v>45378</v>
      </c>
      <c r="C404" s="14" t="s">
        <v>21</v>
      </c>
      <c r="D404" s="14" t="s">
        <v>42</v>
      </c>
      <c r="E404" s="14" t="s">
        <v>16</v>
      </c>
      <c r="F404" s="14" t="s">
        <v>64</v>
      </c>
      <c r="G404" s="14">
        <v>7</v>
      </c>
      <c r="H404" s="14">
        <v>873</v>
      </c>
      <c r="I404" s="14">
        <v>6111</v>
      </c>
      <c r="J404" s="14">
        <v>4055.09</v>
      </c>
      <c r="K404" s="14">
        <v>2055.91</v>
      </c>
      <c r="L404" s="14" t="s">
        <v>18</v>
      </c>
      <c r="M404" s="14" t="s">
        <v>19</v>
      </c>
    </row>
    <row r="405" spans="1:13" x14ac:dyDescent="0.25">
      <c r="A405" s="14" t="s">
        <v>442</v>
      </c>
      <c r="B405" s="15">
        <v>45300</v>
      </c>
      <c r="C405" s="14" t="s">
        <v>38</v>
      </c>
      <c r="D405" s="14" t="s">
        <v>15</v>
      </c>
      <c r="E405" s="14" t="s">
        <v>16</v>
      </c>
      <c r="F405" s="14" t="s">
        <v>17</v>
      </c>
      <c r="G405" s="14">
        <v>4</v>
      </c>
      <c r="H405" s="14">
        <v>697</v>
      </c>
      <c r="I405" s="14">
        <v>2788</v>
      </c>
      <c r="J405" s="14">
        <v>1991.33</v>
      </c>
      <c r="K405" s="14">
        <v>796.67</v>
      </c>
      <c r="L405" s="14" t="s">
        <v>25</v>
      </c>
      <c r="M405" s="14" t="s">
        <v>44</v>
      </c>
    </row>
    <row r="406" spans="1:13" x14ac:dyDescent="0.25">
      <c r="A406" s="14" t="s">
        <v>443</v>
      </c>
      <c r="B406" s="15">
        <v>45334</v>
      </c>
      <c r="C406" s="14" t="s">
        <v>38</v>
      </c>
      <c r="D406" s="14" t="s">
        <v>22</v>
      </c>
      <c r="E406" s="14" t="s">
        <v>34</v>
      </c>
      <c r="F406" s="14" t="s">
        <v>47</v>
      </c>
      <c r="G406" s="14">
        <v>10</v>
      </c>
      <c r="H406" s="14">
        <v>807</v>
      </c>
      <c r="I406" s="14">
        <v>8070</v>
      </c>
      <c r="J406" s="14">
        <v>4411.17</v>
      </c>
      <c r="K406" s="14">
        <v>3658.83</v>
      </c>
      <c r="L406" s="14" t="s">
        <v>18</v>
      </c>
      <c r="M406" s="14" t="s">
        <v>19</v>
      </c>
    </row>
    <row r="407" spans="1:13" x14ac:dyDescent="0.25">
      <c r="A407" s="14" t="s">
        <v>444</v>
      </c>
      <c r="B407" s="15">
        <v>45455</v>
      </c>
      <c r="C407" s="14" t="s">
        <v>41</v>
      </c>
      <c r="D407" s="14" t="s">
        <v>15</v>
      </c>
      <c r="E407" s="14" t="s">
        <v>23</v>
      </c>
      <c r="F407" s="14" t="s">
        <v>43</v>
      </c>
      <c r="G407" s="14">
        <v>9</v>
      </c>
      <c r="H407" s="14">
        <v>107</v>
      </c>
      <c r="I407" s="14">
        <v>963</v>
      </c>
      <c r="J407" s="14">
        <v>531.97</v>
      </c>
      <c r="K407" s="14">
        <v>431.03</v>
      </c>
      <c r="L407" s="14" t="s">
        <v>25</v>
      </c>
      <c r="M407" s="14" t="s">
        <v>30</v>
      </c>
    </row>
    <row r="408" spans="1:13" x14ac:dyDescent="0.25">
      <c r="A408" s="14" t="s">
        <v>445</v>
      </c>
      <c r="B408" s="15">
        <v>45445</v>
      </c>
      <c r="C408" s="14" t="s">
        <v>14</v>
      </c>
      <c r="D408" s="14" t="s">
        <v>22</v>
      </c>
      <c r="E408" s="14" t="s">
        <v>16</v>
      </c>
      <c r="F408" s="14" t="s">
        <v>64</v>
      </c>
      <c r="G408" s="14">
        <v>4</v>
      </c>
      <c r="H408" s="14">
        <v>933</v>
      </c>
      <c r="I408" s="14">
        <v>3732</v>
      </c>
      <c r="J408" s="14">
        <v>2612.62</v>
      </c>
      <c r="K408" s="14">
        <v>1119.3800000000001</v>
      </c>
      <c r="L408" s="14" t="s">
        <v>18</v>
      </c>
      <c r="M408" s="14" t="s">
        <v>26</v>
      </c>
    </row>
    <row r="409" spans="1:13" x14ac:dyDescent="0.25">
      <c r="A409" s="14" t="s">
        <v>446</v>
      </c>
      <c r="B409" s="15">
        <v>45338</v>
      </c>
      <c r="C409" s="14" t="s">
        <v>41</v>
      </c>
      <c r="D409" s="14" t="s">
        <v>15</v>
      </c>
      <c r="E409" s="14" t="s">
        <v>34</v>
      </c>
      <c r="F409" s="14" t="s">
        <v>35</v>
      </c>
      <c r="G409" s="14">
        <v>5</v>
      </c>
      <c r="H409" s="14">
        <v>544</v>
      </c>
      <c r="I409" s="14">
        <v>2720</v>
      </c>
      <c r="J409" s="14">
        <v>2000.64</v>
      </c>
      <c r="K409" s="14">
        <v>719.36</v>
      </c>
      <c r="L409" s="14" t="s">
        <v>18</v>
      </c>
      <c r="M409" s="14" t="s">
        <v>19</v>
      </c>
    </row>
    <row r="410" spans="1:13" x14ac:dyDescent="0.25">
      <c r="A410" s="14" t="s">
        <v>447</v>
      </c>
      <c r="B410" s="15">
        <v>45512</v>
      </c>
      <c r="C410" s="14" t="s">
        <v>21</v>
      </c>
      <c r="D410" s="14" t="s">
        <v>28</v>
      </c>
      <c r="E410" s="14" t="s">
        <v>16</v>
      </c>
      <c r="F410" s="14" t="s">
        <v>64</v>
      </c>
      <c r="G410" s="14">
        <v>8</v>
      </c>
      <c r="H410" s="14">
        <v>29</v>
      </c>
      <c r="I410" s="14">
        <v>232</v>
      </c>
      <c r="J410" s="14">
        <v>144.86000000000001</v>
      </c>
      <c r="K410" s="14">
        <v>87.14</v>
      </c>
      <c r="L410" s="14" t="s">
        <v>18</v>
      </c>
      <c r="M410" s="14" t="s">
        <v>30</v>
      </c>
    </row>
    <row r="411" spans="1:13" x14ac:dyDescent="0.25">
      <c r="A411" s="14" t="s">
        <v>448</v>
      </c>
      <c r="B411" s="15">
        <v>45411</v>
      </c>
      <c r="C411" s="14" t="s">
        <v>21</v>
      </c>
      <c r="D411" s="14" t="s">
        <v>15</v>
      </c>
      <c r="E411" s="14" t="s">
        <v>23</v>
      </c>
      <c r="F411" s="14" t="s">
        <v>24</v>
      </c>
      <c r="G411" s="14">
        <v>3</v>
      </c>
      <c r="H411" s="14">
        <v>706</v>
      </c>
      <c r="I411" s="14">
        <v>2118</v>
      </c>
      <c r="J411" s="14">
        <v>1119.58</v>
      </c>
      <c r="K411" s="14">
        <v>998.42</v>
      </c>
      <c r="L411" s="14" t="s">
        <v>18</v>
      </c>
      <c r="M411" s="14" t="s">
        <v>26</v>
      </c>
    </row>
    <row r="412" spans="1:13" x14ac:dyDescent="0.25">
      <c r="A412" s="14" t="s">
        <v>449</v>
      </c>
      <c r="B412" s="15">
        <v>45363</v>
      </c>
      <c r="C412" s="14" t="s">
        <v>41</v>
      </c>
      <c r="D412" s="14" t="s">
        <v>28</v>
      </c>
      <c r="E412" s="14" t="s">
        <v>23</v>
      </c>
      <c r="F412" s="14" t="s">
        <v>43</v>
      </c>
      <c r="G412" s="14">
        <v>2</v>
      </c>
      <c r="H412" s="14">
        <v>794</v>
      </c>
      <c r="I412" s="14">
        <v>1588</v>
      </c>
      <c r="J412" s="14">
        <v>796.1</v>
      </c>
      <c r="K412" s="14">
        <v>791.9</v>
      </c>
      <c r="L412" s="14" t="s">
        <v>25</v>
      </c>
      <c r="M412" s="14" t="s">
        <v>44</v>
      </c>
    </row>
    <row r="413" spans="1:13" x14ac:dyDescent="0.25">
      <c r="A413" s="14" t="s">
        <v>450</v>
      </c>
      <c r="B413" s="15">
        <v>45506</v>
      </c>
      <c r="C413" s="14" t="s">
        <v>21</v>
      </c>
      <c r="D413" s="14" t="s">
        <v>28</v>
      </c>
      <c r="E413" s="14" t="s">
        <v>34</v>
      </c>
      <c r="F413" s="14" t="s">
        <v>47</v>
      </c>
      <c r="G413" s="14">
        <v>10</v>
      </c>
      <c r="H413" s="14">
        <v>927</v>
      </c>
      <c r="I413" s="14">
        <v>9270</v>
      </c>
      <c r="J413" s="14">
        <v>7179.63</v>
      </c>
      <c r="K413" s="14">
        <v>2090.37</v>
      </c>
      <c r="L413" s="14" t="s">
        <v>18</v>
      </c>
      <c r="M413" s="14" t="s">
        <v>30</v>
      </c>
    </row>
    <row r="414" spans="1:13" x14ac:dyDescent="0.25">
      <c r="A414" s="14" t="s">
        <v>451</v>
      </c>
      <c r="B414" s="15">
        <v>45470</v>
      </c>
      <c r="C414" s="14" t="s">
        <v>41</v>
      </c>
      <c r="D414" s="14" t="s">
        <v>22</v>
      </c>
      <c r="E414" s="14" t="s">
        <v>34</v>
      </c>
      <c r="F414" s="14" t="s">
        <v>53</v>
      </c>
      <c r="G414" s="14">
        <v>2</v>
      </c>
      <c r="H414" s="14">
        <v>205</v>
      </c>
      <c r="I414" s="14">
        <v>410</v>
      </c>
      <c r="J414" s="14">
        <v>294.64999999999998</v>
      </c>
      <c r="K414" s="14">
        <v>115.35</v>
      </c>
      <c r="L414" s="14" t="s">
        <v>18</v>
      </c>
      <c r="M414" s="14" t="s">
        <v>19</v>
      </c>
    </row>
    <row r="415" spans="1:13" x14ac:dyDescent="0.25">
      <c r="A415" s="14" t="s">
        <v>452</v>
      </c>
      <c r="B415" s="15">
        <v>45536</v>
      </c>
      <c r="C415" s="14" t="s">
        <v>38</v>
      </c>
      <c r="D415" s="14" t="s">
        <v>42</v>
      </c>
      <c r="E415" s="14" t="s">
        <v>34</v>
      </c>
      <c r="F415" s="14" t="s">
        <v>47</v>
      </c>
      <c r="G415" s="14">
        <v>6</v>
      </c>
      <c r="H415" s="14">
        <v>269</v>
      </c>
      <c r="I415" s="14">
        <v>1614</v>
      </c>
      <c r="J415" s="14">
        <v>1048.02</v>
      </c>
      <c r="K415" s="14">
        <v>565.98</v>
      </c>
      <c r="L415" s="14" t="s">
        <v>25</v>
      </c>
      <c r="M415" s="14" t="s">
        <v>26</v>
      </c>
    </row>
    <row r="416" spans="1:13" x14ac:dyDescent="0.25">
      <c r="A416" s="14" t="s">
        <v>453</v>
      </c>
      <c r="B416" s="15">
        <v>45314</v>
      </c>
      <c r="C416" s="14" t="s">
        <v>38</v>
      </c>
      <c r="D416" s="14" t="s">
        <v>42</v>
      </c>
      <c r="E416" s="14" t="s">
        <v>16</v>
      </c>
      <c r="F416" s="14" t="s">
        <v>29</v>
      </c>
      <c r="G416" s="14">
        <v>7</v>
      </c>
      <c r="H416" s="14">
        <v>637</v>
      </c>
      <c r="I416" s="14">
        <v>4459</v>
      </c>
      <c r="J416" s="14">
        <v>3088.94</v>
      </c>
      <c r="K416" s="14">
        <v>1370.06</v>
      </c>
      <c r="L416" s="14" t="s">
        <v>18</v>
      </c>
      <c r="M416" s="14" t="s">
        <v>26</v>
      </c>
    </row>
    <row r="417" spans="1:13" x14ac:dyDescent="0.25">
      <c r="A417" s="14" t="s">
        <v>454</v>
      </c>
      <c r="B417" s="15">
        <v>45547</v>
      </c>
      <c r="C417" s="14" t="s">
        <v>41</v>
      </c>
      <c r="D417" s="14" t="s">
        <v>15</v>
      </c>
      <c r="E417" s="14" t="s">
        <v>23</v>
      </c>
      <c r="F417" s="14" t="s">
        <v>24</v>
      </c>
      <c r="G417" s="14">
        <v>1</v>
      </c>
      <c r="H417" s="14">
        <v>619</v>
      </c>
      <c r="I417" s="14">
        <v>619</v>
      </c>
      <c r="J417" s="14">
        <v>431.11</v>
      </c>
      <c r="K417" s="14">
        <v>187.89</v>
      </c>
      <c r="L417" s="14" t="s">
        <v>25</v>
      </c>
      <c r="M417" s="14" t="s">
        <v>26</v>
      </c>
    </row>
    <row r="418" spans="1:13" x14ac:dyDescent="0.25">
      <c r="A418" s="14" t="s">
        <v>455</v>
      </c>
      <c r="B418" s="15">
        <v>45499</v>
      </c>
      <c r="C418" s="14" t="s">
        <v>38</v>
      </c>
      <c r="D418" s="14" t="s">
        <v>42</v>
      </c>
      <c r="E418" s="14" t="s">
        <v>23</v>
      </c>
      <c r="F418" s="14" t="s">
        <v>43</v>
      </c>
      <c r="G418" s="14">
        <v>5</v>
      </c>
      <c r="H418" s="14">
        <v>800</v>
      </c>
      <c r="I418" s="14">
        <v>4000</v>
      </c>
      <c r="J418" s="14">
        <v>2079.71</v>
      </c>
      <c r="K418" s="14">
        <v>1920.29</v>
      </c>
      <c r="L418" s="14" t="s">
        <v>25</v>
      </c>
      <c r="M418" s="14" t="s">
        <v>26</v>
      </c>
    </row>
    <row r="419" spans="1:13" x14ac:dyDescent="0.25">
      <c r="A419" s="14" t="s">
        <v>456</v>
      </c>
      <c r="B419" s="15">
        <v>45509</v>
      </c>
      <c r="C419" s="14" t="s">
        <v>38</v>
      </c>
      <c r="D419" s="14" t="s">
        <v>42</v>
      </c>
      <c r="E419" s="14" t="s">
        <v>23</v>
      </c>
      <c r="F419" s="14" t="s">
        <v>24</v>
      </c>
      <c r="G419" s="14">
        <v>8</v>
      </c>
      <c r="H419" s="14">
        <v>495</v>
      </c>
      <c r="I419" s="14">
        <v>3960</v>
      </c>
      <c r="J419" s="14">
        <v>2844.24</v>
      </c>
      <c r="K419" s="14">
        <v>1115.76</v>
      </c>
      <c r="L419" s="14" t="s">
        <v>25</v>
      </c>
      <c r="M419" s="14" t="s">
        <v>19</v>
      </c>
    </row>
    <row r="420" spans="1:13" x14ac:dyDescent="0.25">
      <c r="A420" s="14" t="s">
        <v>457</v>
      </c>
      <c r="B420" s="15">
        <v>45346</v>
      </c>
      <c r="C420" s="14" t="s">
        <v>14</v>
      </c>
      <c r="D420" s="14" t="s">
        <v>22</v>
      </c>
      <c r="E420" s="14" t="s">
        <v>34</v>
      </c>
      <c r="F420" s="14" t="s">
        <v>53</v>
      </c>
      <c r="G420" s="14">
        <v>3</v>
      </c>
      <c r="H420" s="14">
        <v>500</v>
      </c>
      <c r="I420" s="14">
        <v>1500</v>
      </c>
      <c r="J420" s="14">
        <v>828.65</v>
      </c>
      <c r="K420" s="14">
        <v>671.35</v>
      </c>
      <c r="L420" s="14" t="s">
        <v>25</v>
      </c>
      <c r="M420" s="14" t="s">
        <v>19</v>
      </c>
    </row>
    <row r="421" spans="1:13" x14ac:dyDescent="0.25">
      <c r="A421" s="14" t="s">
        <v>458</v>
      </c>
      <c r="B421" s="15">
        <v>45455</v>
      </c>
      <c r="C421" s="14" t="s">
        <v>41</v>
      </c>
      <c r="D421" s="14" t="s">
        <v>28</v>
      </c>
      <c r="E421" s="14" t="s">
        <v>23</v>
      </c>
      <c r="F421" s="14" t="s">
        <v>24</v>
      </c>
      <c r="G421" s="14">
        <v>3</v>
      </c>
      <c r="H421" s="14">
        <v>391</v>
      </c>
      <c r="I421" s="14">
        <v>1173</v>
      </c>
      <c r="J421" s="14">
        <v>724.39</v>
      </c>
      <c r="K421" s="14">
        <v>448.61</v>
      </c>
      <c r="L421" s="14" t="s">
        <v>18</v>
      </c>
      <c r="M421" s="14" t="s">
        <v>26</v>
      </c>
    </row>
    <row r="422" spans="1:13" x14ac:dyDescent="0.25">
      <c r="A422" s="14" t="s">
        <v>459</v>
      </c>
      <c r="B422" s="15">
        <v>45586</v>
      </c>
      <c r="C422" s="14" t="s">
        <v>14</v>
      </c>
      <c r="D422" s="14" t="s">
        <v>15</v>
      </c>
      <c r="E422" s="14" t="s">
        <v>23</v>
      </c>
      <c r="F422" s="14" t="s">
        <v>39</v>
      </c>
      <c r="G422" s="14">
        <v>1</v>
      </c>
      <c r="H422" s="14">
        <v>83</v>
      </c>
      <c r="I422" s="14">
        <v>83</v>
      </c>
      <c r="J422" s="14">
        <v>54.5</v>
      </c>
      <c r="K422" s="14">
        <v>28.5</v>
      </c>
      <c r="L422" s="14" t="s">
        <v>18</v>
      </c>
      <c r="M422" s="14" t="s">
        <v>30</v>
      </c>
    </row>
    <row r="423" spans="1:13" x14ac:dyDescent="0.25">
      <c r="A423" s="14" t="s">
        <v>460</v>
      </c>
      <c r="B423" s="15">
        <v>45447</v>
      </c>
      <c r="C423" s="14" t="s">
        <v>21</v>
      </c>
      <c r="D423" s="14" t="s">
        <v>28</v>
      </c>
      <c r="E423" s="14" t="s">
        <v>16</v>
      </c>
      <c r="F423" s="14" t="s">
        <v>29</v>
      </c>
      <c r="G423" s="14">
        <v>10</v>
      </c>
      <c r="H423" s="14">
        <v>331</v>
      </c>
      <c r="I423" s="14">
        <v>3310</v>
      </c>
      <c r="J423" s="14">
        <v>1782.39</v>
      </c>
      <c r="K423" s="14">
        <v>1527.61</v>
      </c>
      <c r="L423" s="14" t="s">
        <v>25</v>
      </c>
      <c r="M423" s="14" t="s">
        <v>19</v>
      </c>
    </row>
    <row r="424" spans="1:13" x14ac:dyDescent="0.25">
      <c r="A424" s="14" t="s">
        <v>461</v>
      </c>
      <c r="B424" s="15">
        <v>45408</v>
      </c>
      <c r="C424" s="14" t="s">
        <v>21</v>
      </c>
      <c r="D424" s="14" t="s">
        <v>28</v>
      </c>
      <c r="E424" s="14" t="s">
        <v>23</v>
      </c>
      <c r="F424" s="14" t="s">
        <v>24</v>
      </c>
      <c r="G424" s="14">
        <v>6</v>
      </c>
      <c r="H424" s="14">
        <v>138</v>
      </c>
      <c r="I424" s="14">
        <v>828</v>
      </c>
      <c r="J424" s="14">
        <v>581</v>
      </c>
      <c r="K424" s="14">
        <v>247</v>
      </c>
      <c r="L424" s="14" t="s">
        <v>25</v>
      </c>
      <c r="M424" s="14" t="s">
        <v>30</v>
      </c>
    </row>
    <row r="425" spans="1:13" x14ac:dyDescent="0.25">
      <c r="A425" s="14" t="s">
        <v>462</v>
      </c>
      <c r="B425" s="15">
        <v>45496</v>
      </c>
      <c r="C425" s="14" t="s">
        <v>38</v>
      </c>
      <c r="D425" s="14" t="s">
        <v>28</v>
      </c>
      <c r="E425" s="14" t="s">
        <v>34</v>
      </c>
      <c r="F425" s="14" t="s">
        <v>35</v>
      </c>
      <c r="G425" s="14">
        <v>10</v>
      </c>
      <c r="H425" s="14">
        <v>149</v>
      </c>
      <c r="I425" s="14">
        <v>1490</v>
      </c>
      <c r="J425" s="14">
        <v>825.62</v>
      </c>
      <c r="K425" s="14">
        <v>664.38</v>
      </c>
      <c r="L425" s="14" t="s">
        <v>18</v>
      </c>
      <c r="M425" s="14" t="s">
        <v>30</v>
      </c>
    </row>
    <row r="426" spans="1:13" x14ac:dyDescent="0.25">
      <c r="A426" s="14" t="s">
        <v>463</v>
      </c>
      <c r="B426" s="15">
        <v>45399</v>
      </c>
      <c r="C426" s="14" t="s">
        <v>21</v>
      </c>
      <c r="D426" s="14" t="s">
        <v>15</v>
      </c>
      <c r="E426" s="14" t="s">
        <v>16</v>
      </c>
      <c r="F426" s="14" t="s">
        <v>17</v>
      </c>
      <c r="G426" s="14">
        <v>6</v>
      </c>
      <c r="H426" s="14">
        <v>712</v>
      </c>
      <c r="I426" s="14">
        <v>4272</v>
      </c>
      <c r="J426" s="14">
        <v>3400.74</v>
      </c>
      <c r="K426" s="14">
        <v>871.26</v>
      </c>
      <c r="L426" s="14" t="s">
        <v>25</v>
      </c>
      <c r="M426" s="14" t="s">
        <v>44</v>
      </c>
    </row>
    <row r="427" spans="1:13" x14ac:dyDescent="0.25">
      <c r="A427" s="14" t="s">
        <v>464</v>
      </c>
      <c r="B427" s="15">
        <v>45349</v>
      </c>
      <c r="C427" s="14" t="s">
        <v>21</v>
      </c>
      <c r="D427" s="14" t="s">
        <v>15</v>
      </c>
      <c r="E427" s="14" t="s">
        <v>34</v>
      </c>
      <c r="F427" s="14" t="s">
        <v>47</v>
      </c>
      <c r="G427" s="14">
        <v>6</v>
      </c>
      <c r="H427" s="14">
        <v>570</v>
      </c>
      <c r="I427" s="14">
        <v>3420</v>
      </c>
      <c r="J427" s="14">
        <v>2287.6799999999998</v>
      </c>
      <c r="K427" s="14">
        <v>1132.32</v>
      </c>
      <c r="L427" s="14" t="s">
        <v>25</v>
      </c>
      <c r="M427" s="14" t="s">
        <v>19</v>
      </c>
    </row>
    <row r="428" spans="1:13" x14ac:dyDescent="0.25">
      <c r="A428" s="14" t="s">
        <v>465</v>
      </c>
      <c r="B428" s="15">
        <v>45358</v>
      </c>
      <c r="C428" s="14" t="s">
        <v>14</v>
      </c>
      <c r="D428" s="14" t="s">
        <v>15</v>
      </c>
      <c r="E428" s="14" t="s">
        <v>16</v>
      </c>
      <c r="F428" s="14" t="s">
        <v>64</v>
      </c>
      <c r="G428" s="14">
        <v>8</v>
      </c>
      <c r="H428" s="14">
        <v>612</v>
      </c>
      <c r="I428" s="14">
        <v>4896</v>
      </c>
      <c r="J428" s="14">
        <v>3601.19</v>
      </c>
      <c r="K428" s="14">
        <v>1294.81</v>
      </c>
      <c r="L428" s="14" t="s">
        <v>25</v>
      </c>
      <c r="M428" s="14" t="s">
        <v>30</v>
      </c>
    </row>
    <row r="429" spans="1:13" x14ac:dyDescent="0.25">
      <c r="A429" s="14" t="s">
        <v>466</v>
      </c>
      <c r="B429" s="15">
        <v>45429</v>
      </c>
      <c r="C429" s="14" t="s">
        <v>14</v>
      </c>
      <c r="D429" s="14" t="s">
        <v>28</v>
      </c>
      <c r="E429" s="14" t="s">
        <v>16</v>
      </c>
      <c r="F429" s="14" t="s">
        <v>29</v>
      </c>
      <c r="G429" s="14">
        <v>6</v>
      </c>
      <c r="H429" s="14">
        <v>174</v>
      </c>
      <c r="I429" s="14">
        <v>1044</v>
      </c>
      <c r="J429" s="14">
        <v>805.81</v>
      </c>
      <c r="K429" s="14">
        <v>238.19</v>
      </c>
      <c r="L429" s="14" t="s">
        <v>18</v>
      </c>
      <c r="M429" s="14" t="s">
        <v>19</v>
      </c>
    </row>
    <row r="430" spans="1:13" x14ac:dyDescent="0.25">
      <c r="A430" s="14" t="s">
        <v>467</v>
      </c>
      <c r="B430" s="15">
        <v>45349</v>
      </c>
      <c r="C430" s="14" t="s">
        <v>14</v>
      </c>
      <c r="D430" s="14" t="s">
        <v>22</v>
      </c>
      <c r="E430" s="14" t="s">
        <v>23</v>
      </c>
      <c r="F430" s="14" t="s">
        <v>24</v>
      </c>
      <c r="G430" s="14">
        <v>10</v>
      </c>
      <c r="H430" s="14">
        <v>390</v>
      </c>
      <c r="I430" s="14">
        <v>3900</v>
      </c>
      <c r="J430" s="14">
        <v>2743.07</v>
      </c>
      <c r="K430" s="14">
        <v>1156.93</v>
      </c>
      <c r="L430" s="14" t="s">
        <v>18</v>
      </c>
      <c r="M430" s="14" t="s">
        <v>26</v>
      </c>
    </row>
    <row r="431" spans="1:13" x14ac:dyDescent="0.25">
      <c r="A431" s="14" t="s">
        <v>468</v>
      </c>
      <c r="B431" s="15">
        <v>45346</v>
      </c>
      <c r="C431" s="14" t="s">
        <v>41</v>
      </c>
      <c r="D431" s="14" t="s">
        <v>22</v>
      </c>
      <c r="E431" s="14" t="s">
        <v>16</v>
      </c>
      <c r="F431" s="14" t="s">
        <v>29</v>
      </c>
      <c r="G431" s="14">
        <v>10</v>
      </c>
      <c r="H431" s="14">
        <v>949</v>
      </c>
      <c r="I431" s="14">
        <v>9490</v>
      </c>
      <c r="J431" s="14">
        <v>6363.58</v>
      </c>
      <c r="K431" s="14">
        <v>3126.42</v>
      </c>
      <c r="L431" s="14" t="s">
        <v>25</v>
      </c>
      <c r="M431" s="14" t="s">
        <v>26</v>
      </c>
    </row>
    <row r="432" spans="1:13" x14ac:dyDescent="0.25">
      <c r="A432" s="14" t="s">
        <v>469</v>
      </c>
      <c r="B432" s="15">
        <v>45471</v>
      </c>
      <c r="C432" s="14" t="s">
        <v>14</v>
      </c>
      <c r="D432" s="14" t="s">
        <v>28</v>
      </c>
      <c r="E432" s="14" t="s">
        <v>16</v>
      </c>
      <c r="F432" s="14" t="s">
        <v>17</v>
      </c>
      <c r="G432" s="14">
        <v>4</v>
      </c>
      <c r="H432" s="14">
        <v>138</v>
      </c>
      <c r="I432" s="14">
        <v>552</v>
      </c>
      <c r="J432" s="14">
        <v>372.95</v>
      </c>
      <c r="K432" s="14">
        <v>179.05</v>
      </c>
      <c r="L432" s="14" t="s">
        <v>25</v>
      </c>
      <c r="M432" s="14" t="s">
        <v>44</v>
      </c>
    </row>
    <row r="433" spans="1:13" x14ac:dyDescent="0.25">
      <c r="A433" s="14" t="s">
        <v>470</v>
      </c>
      <c r="B433" s="15">
        <v>45498</v>
      </c>
      <c r="C433" s="14" t="s">
        <v>38</v>
      </c>
      <c r="D433" s="14" t="s">
        <v>15</v>
      </c>
      <c r="E433" s="14" t="s">
        <v>34</v>
      </c>
      <c r="F433" s="14" t="s">
        <v>35</v>
      </c>
      <c r="G433" s="14">
        <v>7</v>
      </c>
      <c r="H433" s="14">
        <v>400</v>
      </c>
      <c r="I433" s="14">
        <v>2800</v>
      </c>
      <c r="J433" s="14">
        <v>2218.54</v>
      </c>
      <c r="K433" s="14">
        <v>581.46</v>
      </c>
      <c r="L433" s="14" t="s">
        <v>18</v>
      </c>
      <c r="M433" s="14" t="s">
        <v>19</v>
      </c>
    </row>
    <row r="434" spans="1:13" x14ac:dyDescent="0.25">
      <c r="A434" s="14" t="s">
        <v>471</v>
      </c>
      <c r="B434" s="15">
        <v>45387</v>
      </c>
      <c r="C434" s="14" t="s">
        <v>14</v>
      </c>
      <c r="D434" s="14" t="s">
        <v>15</v>
      </c>
      <c r="E434" s="14" t="s">
        <v>16</v>
      </c>
      <c r="F434" s="14" t="s">
        <v>17</v>
      </c>
      <c r="G434" s="14">
        <v>6</v>
      </c>
      <c r="H434" s="14">
        <v>782</v>
      </c>
      <c r="I434" s="14">
        <v>4692</v>
      </c>
      <c r="J434" s="14">
        <v>3450.96</v>
      </c>
      <c r="K434" s="14">
        <v>1241.04</v>
      </c>
      <c r="L434" s="14" t="s">
        <v>25</v>
      </c>
      <c r="M434" s="14" t="s">
        <v>26</v>
      </c>
    </row>
    <row r="435" spans="1:13" x14ac:dyDescent="0.25">
      <c r="A435" s="14" t="s">
        <v>472</v>
      </c>
      <c r="B435" s="15">
        <v>45580</v>
      </c>
      <c r="C435" s="14" t="s">
        <v>21</v>
      </c>
      <c r="D435" s="14" t="s">
        <v>42</v>
      </c>
      <c r="E435" s="14" t="s">
        <v>16</v>
      </c>
      <c r="F435" s="14" t="s">
        <v>17</v>
      </c>
      <c r="G435" s="14">
        <v>1</v>
      </c>
      <c r="H435" s="14">
        <v>355</v>
      </c>
      <c r="I435" s="14">
        <v>355</v>
      </c>
      <c r="J435" s="14">
        <v>246.92</v>
      </c>
      <c r="K435" s="14">
        <v>108.08</v>
      </c>
      <c r="L435" s="14" t="s">
        <v>25</v>
      </c>
      <c r="M435" s="14" t="s">
        <v>30</v>
      </c>
    </row>
    <row r="436" spans="1:13" x14ac:dyDescent="0.25">
      <c r="A436" s="14" t="s">
        <v>473</v>
      </c>
      <c r="B436" s="15">
        <v>45543</v>
      </c>
      <c r="C436" s="14" t="s">
        <v>14</v>
      </c>
      <c r="D436" s="14" t="s">
        <v>15</v>
      </c>
      <c r="E436" s="14" t="s">
        <v>16</v>
      </c>
      <c r="F436" s="14" t="s">
        <v>17</v>
      </c>
      <c r="G436" s="14">
        <v>6</v>
      </c>
      <c r="H436" s="14">
        <v>53</v>
      </c>
      <c r="I436" s="14">
        <v>318</v>
      </c>
      <c r="J436" s="14">
        <v>169.62</v>
      </c>
      <c r="K436" s="14">
        <v>148.38</v>
      </c>
      <c r="L436" s="14" t="s">
        <v>25</v>
      </c>
      <c r="M436" s="14" t="s">
        <v>30</v>
      </c>
    </row>
    <row r="437" spans="1:13" x14ac:dyDescent="0.25">
      <c r="A437" s="14" t="s">
        <v>474</v>
      </c>
      <c r="B437" s="15">
        <v>45352</v>
      </c>
      <c r="C437" s="14" t="s">
        <v>38</v>
      </c>
      <c r="D437" s="14" t="s">
        <v>28</v>
      </c>
      <c r="E437" s="14" t="s">
        <v>16</v>
      </c>
      <c r="F437" s="14" t="s">
        <v>17</v>
      </c>
      <c r="G437" s="14">
        <v>10</v>
      </c>
      <c r="H437" s="14">
        <v>665</v>
      </c>
      <c r="I437" s="14">
        <v>6650</v>
      </c>
      <c r="J437" s="14">
        <v>3845.45</v>
      </c>
      <c r="K437" s="14">
        <v>2804.55</v>
      </c>
      <c r="L437" s="14" t="s">
        <v>18</v>
      </c>
      <c r="M437" s="14" t="s">
        <v>44</v>
      </c>
    </row>
    <row r="438" spans="1:13" x14ac:dyDescent="0.25">
      <c r="A438" s="14" t="s">
        <v>475</v>
      </c>
      <c r="B438" s="15">
        <v>45584</v>
      </c>
      <c r="C438" s="14" t="s">
        <v>21</v>
      </c>
      <c r="D438" s="14" t="s">
        <v>42</v>
      </c>
      <c r="E438" s="14" t="s">
        <v>16</v>
      </c>
      <c r="F438" s="14" t="s">
        <v>64</v>
      </c>
      <c r="G438" s="14">
        <v>9</v>
      </c>
      <c r="H438" s="14">
        <v>388</v>
      </c>
      <c r="I438" s="14">
        <v>3492</v>
      </c>
      <c r="J438" s="14">
        <v>2759.15</v>
      </c>
      <c r="K438" s="14">
        <v>732.85</v>
      </c>
      <c r="L438" s="14" t="s">
        <v>25</v>
      </c>
      <c r="M438" s="14" t="s">
        <v>19</v>
      </c>
    </row>
    <row r="439" spans="1:13" x14ac:dyDescent="0.25">
      <c r="A439" s="14" t="s">
        <v>476</v>
      </c>
      <c r="B439" s="15">
        <v>45383</v>
      </c>
      <c r="C439" s="14" t="s">
        <v>38</v>
      </c>
      <c r="D439" s="14" t="s">
        <v>15</v>
      </c>
      <c r="E439" s="14" t="s">
        <v>34</v>
      </c>
      <c r="F439" s="14" t="s">
        <v>35</v>
      </c>
      <c r="G439" s="14">
        <v>3</v>
      </c>
      <c r="H439" s="14">
        <v>766</v>
      </c>
      <c r="I439" s="14">
        <v>2298</v>
      </c>
      <c r="J439" s="14">
        <v>1736.73</v>
      </c>
      <c r="K439" s="14">
        <v>561.27</v>
      </c>
      <c r="L439" s="14" t="s">
        <v>25</v>
      </c>
      <c r="M439" s="14" t="s">
        <v>30</v>
      </c>
    </row>
    <row r="440" spans="1:13" x14ac:dyDescent="0.25">
      <c r="A440" s="14" t="s">
        <v>477</v>
      </c>
      <c r="B440" s="15">
        <v>45573</v>
      </c>
      <c r="C440" s="14" t="s">
        <v>41</v>
      </c>
      <c r="D440" s="14" t="s">
        <v>15</v>
      </c>
      <c r="E440" s="14" t="s">
        <v>16</v>
      </c>
      <c r="F440" s="14" t="s">
        <v>29</v>
      </c>
      <c r="G440" s="14">
        <v>6</v>
      </c>
      <c r="H440" s="14">
        <v>46</v>
      </c>
      <c r="I440" s="14">
        <v>276</v>
      </c>
      <c r="J440" s="14">
        <v>200.93</v>
      </c>
      <c r="K440" s="14">
        <v>75.069999999999993</v>
      </c>
      <c r="L440" s="14" t="s">
        <v>18</v>
      </c>
      <c r="M440" s="14" t="s">
        <v>30</v>
      </c>
    </row>
    <row r="441" spans="1:13" x14ac:dyDescent="0.25">
      <c r="A441" s="14" t="s">
        <v>478</v>
      </c>
      <c r="B441" s="15">
        <v>45311</v>
      </c>
      <c r="C441" s="14" t="s">
        <v>21</v>
      </c>
      <c r="D441" s="14" t="s">
        <v>28</v>
      </c>
      <c r="E441" s="14" t="s">
        <v>23</v>
      </c>
      <c r="F441" s="14" t="s">
        <v>43</v>
      </c>
      <c r="G441" s="14">
        <v>1</v>
      </c>
      <c r="H441" s="14">
        <v>917</v>
      </c>
      <c r="I441" s="14">
        <v>917</v>
      </c>
      <c r="J441" s="14">
        <v>471.14</v>
      </c>
      <c r="K441" s="14">
        <v>445.86</v>
      </c>
      <c r="L441" s="14" t="s">
        <v>25</v>
      </c>
      <c r="M441" s="14" t="s">
        <v>44</v>
      </c>
    </row>
    <row r="442" spans="1:13" x14ac:dyDescent="0.25">
      <c r="A442" s="14" t="s">
        <v>479</v>
      </c>
      <c r="B442" s="15">
        <v>45464</v>
      </c>
      <c r="C442" s="14" t="s">
        <v>14</v>
      </c>
      <c r="D442" s="14" t="s">
        <v>15</v>
      </c>
      <c r="E442" s="14" t="s">
        <v>34</v>
      </c>
      <c r="F442" s="14" t="s">
        <v>47</v>
      </c>
      <c r="G442" s="14">
        <v>10</v>
      </c>
      <c r="H442" s="14">
        <v>173</v>
      </c>
      <c r="I442" s="14">
        <v>1730</v>
      </c>
      <c r="J442" s="14">
        <v>972.2</v>
      </c>
      <c r="K442" s="14">
        <v>757.8</v>
      </c>
      <c r="L442" s="14" t="s">
        <v>18</v>
      </c>
      <c r="M442" s="14" t="s">
        <v>26</v>
      </c>
    </row>
    <row r="443" spans="1:13" x14ac:dyDescent="0.25">
      <c r="A443" s="14" t="s">
        <v>480</v>
      </c>
      <c r="B443" s="15">
        <v>45485</v>
      </c>
      <c r="C443" s="14" t="s">
        <v>14</v>
      </c>
      <c r="D443" s="14" t="s">
        <v>28</v>
      </c>
      <c r="E443" s="14" t="s">
        <v>23</v>
      </c>
      <c r="F443" s="14" t="s">
        <v>24</v>
      </c>
      <c r="G443" s="14">
        <v>7</v>
      </c>
      <c r="H443" s="14">
        <v>43</v>
      </c>
      <c r="I443" s="14">
        <v>301</v>
      </c>
      <c r="J443" s="14">
        <v>233.92</v>
      </c>
      <c r="K443" s="14">
        <v>67.08</v>
      </c>
      <c r="L443" s="14" t="s">
        <v>18</v>
      </c>
      <c r="M443" s="14" t="s">
        <v>19</v>
      </c>
    </row>
    <row r="444" spans="1:13" x14ac:dyDescent="0.25">
      <c r="A444" s="14" t="s">
        <v>481</v>
      </c>
      <c r="B444" s="15">
        <v>45519</v>
      </c>
      <c r="C444" s="14" t="s">
        <v>41</v>
      </c>
      <c r="D444" s="14" t="s">
        <v>42</v>
      </c>
      <c r="E444" s="14" t="s">
        <v>23</v>
      </c>
      <c r="F444" s="14" t="s">
        <v>43</v>
      </c>
      <c r="G444" s="14">
        <v>8</v>
      </c>
      <c r="H444" s="14">
        <v>364</v>
      </c>
      <c r="I444" s="14">
        <v>2912</v>
      </c>
      <c r="J444" s="14">
        <v>2047.55</v>
      </c>
      <c r="K444" s="14">
        <v>864.45</v>
      </c>
      <c r="L444" s="14" t="s">
        <v>25</v>
      </c>
      <c r="M444" s="14" t="s">
        <v>30</v>
      </c>
    </row>
    <row r="445" spans="1:13" x14ac:dyDescent="0.25">
      <c r="A445" s="14" t="s">
        <v>482</v>
      </c>
      <c r="B445" s="15">
        <v>45408</v>
      </c>
      <c r="C445" s="14" t="s">
        <v>38</v>
      </c>
      <c r="D445" s="14" t="s">
        <v>28</v>
      </c>
      <c r="E445" s="14" t="s">
        <v>23</v>
      </c>
      <c r="F445" s="14" t="s">
        <v>24</v>
      </c>
      <c r="G445" s="14">
        <v>7</v>
      </c>
      <c r="H445" s="14">
        <v>31</v>
      </c>
      <c r="I445" s="14">
        <v>217</v>
      </c>
      <c r="J445" s="14">
        <v>167.29</v>
      </c>
      <c r="K445" s="14">
        <v>49.71</v>
      </c>
      <c r="L445" s="14" t="s">
        <v>18</v>
      </c>
      <c r="M445" s="14" t="s">
        <v>26</v>
      </c>
    </row>
    <row r="446" spans="1:13" x14ac:dyDescent="0.25">
      <c r="A446" s="14" t="s">
        <v>483</v>
      </c>
      <c r="B446" s="15">
        <v>45539</v>
      </c>
      <c r="C446" s="14" t="s">
        <v>14</v>
      </c>
      <c r="D446" s="14" t="s">
        <v>15</v>
      </c>
      <c r="E446" s="14" t="s">
        <v>34</v>
      </c>
      <c r="F446" s="14" t="s">
        <v>35</v>
      </c>
      <c r="G446" s="14">
        <v>9</v>
      </c>
      <c r="H446" s="14">
        <v>78</v>
      </c>
      <c r="I446" s="14">
        <v>702</v>
      </c>
      <c r="J446" s="14">
        <v>351.51</v>
      </c>
      <c r="K446" s="14">
        <v>350.49</v>
      </c>
      <c r="L446" s="14" t="s">
        <v>18</v>
      </c>
      <c r="M446" s="14" t="s">
        <v>19</v>
      </c>
    </row>
    <row r="447" spans="1:13" x14ac:dyDescent="0.25">
      <c r="A447" s="14" t="s">
        <v>484</v>
      </c>
      <c r="B447" s="15">
        <v>45528</v>
      </c>
      <c r="C447" s="14" t="s">
        <v>21</v>
      </c>
      <c r="D447" s="14" t="s">
        <v>28</v>
      </c>
      <c r="E447" s="14" t="s">
        <v>34</v>
      </c>
      <c r="F447" s="14" t="s">
        <v>35</v>
      </c>
      <c r="G447" s="14">
        <v>4</v>
      </c>
      <c r="H447" s="14">
        <v>234</v>
      </c>
      <c r="I447" s="14">
        <v>936</v>
      </c>
      <c r="J447" s="14">
        <v>635.98</v>
      </c>
      <c r="K447" s="14">
        <v>300.02</v>
      </c>
      <c r="L447" s="14" t="s">
        <v>18</v>
      </c>
      <c r="M447" s="14" t="s">
        <v>26</v>
      </c>
    </row>
    <row r="448" spans="1:13" x14ac:dyDescent="0.25">
      <c r="A448" s="14" t="s">
        <v>485</v>
      </c>
      <c r="B448" s="15">
        <v>45361</v>
      </c>
      <c r="C448" s="14" t="s">
        <v>41</v>
      </c>
      <c r="D448" s="14" t="s">
        <v>28</v>
      </c>
      <c r="E448" s="14" t="s">
        <v>34</v>
      </c>
      <c r="F448" s="14" t="s">
        <v>53</v>
      </c>
      <c r="G448" s="14">
        <v>2</v>
      </c>
      <c r="H448" s="14">
        <v>974</v>
      </c>
      <c r="I448" s="14">
        <v>1948</v>
      </c>
      <c r="J448" s="14">
        <v>986.03</v>
      </c>
      <c r="K448" s="14">
        <v>961.97</v>
      </c>
      <c r="L448" s="14" t="s">
        <v>25</v>
      </c>
      <c r="M448" s="14" t="s">
        <v>19</v>
      </c>
    </row>
    <row r="449" spans="1:13" x14ac:dyDescent="0.25">
      <c r="A449" s="14" t="s">
        <v>486</v>
      </c>
      <c r="B449" s="15">
        <v>45422</v>
      </c>
      <c r="C449" s="14" t="s">
        <v>21</v>
      </c>
      <c r="D449" s="14" t="s">
        <v>28</v>
      </c>
      <c r="E449" s="14" t="s">
        <v>23</v>
      </c>
      <c r="F449" s="14" t="s">
        <v>43</v>
      </c>
      <c r="G449" s="14">
        <v>6</v>
      </c>
      <c r="H449" s="14">
        <v>290</v>
      </c>
      <c r="I449" s="14">
        <v>1740</v>
      </c>
      <c r="J449" s="14">
        <v>1231.17</v>
      </c>
      <c r="K449" s="14">
        <v>508.83</v>
      </c>
      <c r="L449" s="14" t="s">
        <v>25</v>
      </c>
      <c r="M449" s="14" t="s">
        <v>30</v>
      </c>
    </row>
    <row r="450" spans="1:13" x14ac:dyDescent="0.25">
      <c r="A450" s="14" t="s">
        <v>487</v>
      </c>
      <c r="B450" s="15">
        <v>45431</v>
      </c>
      <c r="C450" s="14" t="s">
        <v>38</v>
      </c>
      <c r="D450" s="14" t="s">
        <v>22</v>
      </c>
      <c r="E450" s="14" t="s">
        <v>23</v>
      </c>
      <c r="F450" s="14" t="s">
        <v>43</v>
      </c>
      <c r="G450" s="14">
        <v>5</v>
      </c>
      <c r="H450" s="14">
        <v>109</v>
      </c>
      <c r="I450" s="14">
        <v>545</v>
      </c>
      <c r="J450" s="14">
        <v>310.58</v>
      </c>
      <c r="K450" s="14">
        <v>234.42</v>
      </c>
      <c r="L450" s="14" t="s">
        <v>25</v>
      </c>
      <c r="M450" s="14" t="s">
        <v>30</v>
      </c>
    </row>
    <row r="451" spans="1:13" x14ac:dyDescent="0.25">
      <c r="A451" s="14" t="s">
        <v>488</v>
      </c>
      <c r="B451" s="15">
        <v>45310</v>
      </c>
      <c r="C451" s="14" t="s">
        <v>41</v>
      </c>
      <c r="D451" s="14" t="s">
        <v>22</v>
      </c>
      <c r="E451" s="14" t="s">
        <v>16</v>
      </c>
      <c r="F451" s="14" t="s">
        <v>29</v>
      </c>
      <c r="G451" s="14">
        <v>2</v>
      </c>
      <c r="H451" s="14">
        <v>251</v>
      </c>
      <c r="I451" s="14">
        <v>502</v>
      </c>
      <c r="J451" s="14">
        <v>275.20999999999998</v>
      </c>
      <c r="K451" s="14">
        <v>226.79</v>
      </c>
      <c r="L451" s="14" t="s">
        <v>25</v>
      </c>
      <c r="M451" s="14" t="s">
        <v>44</v>
      </c>
    </row>
    <row r="452" spans="1:13" x14ac:dyDescent="0.25">
      <c r="A452" s="14" t="s">
        <v>489</v>
      </c>
      <c r="B452" s="15">
        <v>45525</v>
      </c>
      <c r="C452" s="14" t="s">
        <v>21</v>
      </c>
      <c r="D452" s="14" t="s">
        <v>22</v>
      </c>
      <c r="E452" s="14" t="s">
        <v>16</v>
      </c>
      <c r="F452" s="14" t="s">
        <v>29</v>
      </c>
      <c r="G452" s="14">
        <v>4</v>
      </c>
      <c r="H452" s="14">
        <v>710</v>
      </c>
      <c r="I452" s="14">
        <v>2840</v>
      </c>
      <c r="J452" s="14">
        <v>2105.56</v>
      </c>
      <c r="K452" s="14">
        <v>734.44</v>
      </c>
      <c r="L452" s="14" t="s">
        <v>25</v>
      </c>
      <c r="M452" s="14" t="s">
        <v>30</v>
      </c>
    </row>
    <row r="453" spans="1:13" x14ac:dyDescent="0.25">
      <c r="A453" s="14" t="s">
        <v>490</v>
      </c>
      <c r="B453" s="15">
        <v>45319</v>
      </c>
      <c r="C453" s="14" t="s">
        <v>38</v>
      </c>
      <c r="D453" s="14" t="s">
        <v>28</v>
      </c>
      <c r="E453" s="14" t="s">
        <v>16</v>
      </c>
      <c r="F453" s="14" t="s">
        <v>64</v>
      </c>
      <c r="G453" s="14">
        <v>9</v>
      </c>
      <c r="H453" s="14">
        <v>30</v>
      </c>
      <c r="I453" s="14">
        <v>270</v>
      </c>
      <c r="J453" s="14">
        <v>147.53</v>
      </c>
      <c r="K453" s="14">
        <v>122.47</v>
      </c>
      <c r="L453" s="14" t="s">
        <v>25</v>
      </c>
      <c r="M453" s="14" t="s">
        <v>19</v>
      </c>
    </row>
    <row r="454" spans="1:13" x14ac:dyDescent="0.25">
      <c r="A454" s="14" t="s">
        <v>491</v>
      </c>
      <c r="B454" s="15">
        <v>45577</v>
      </c>
      <c r="C454" s="14" t="s">
        <v>41</v>
      </c>
      <c r="D454" s="14" t="s">
        <v>15</v>
      </c>
      <c r="E454" s="14" t="s">
        <v>16</v>
      </c>
      <c r="F454" s="14" t="s">
        <v>64</v>
      </c>
      <c r="G454" s="14">
        <v>7</v>
      </c>
      <c r="H454" s="14">
        <v>581</v>
      </c>
      <c r="I454" s="14">
        <v>4067</v>
      </c>
      <c r="J454" s="14">
        <v>2488.84</v>
      </c>
      <c r="K454" s="14">
        <v>1578.16</v>
      </c>
      <c r="L454" s="14" t="s">
        <v>25</v>
      </c>
      <c r="M454" s="14" t="s">
        <v>30</v>
      </c>
    </row>
    <row r="455" spans="1:13" x14ac:dyDescent="0.25">
      <c r="A455" s="14" t="s">
        <v>492</v>
      </c>
      <c r="B455" s="15">
        <v>45581</v>
      </c>
      <c r="C455" s="14" t="s">
        <v>21</v>
      </c>
      <c r="D455" s="14" t="s">
        <v>28</v>
      </c>
      <c r="E455" s="14" t="s">
        <v>16</v>
      </c>
      <c r="F455" s="14" t="s">
        <v>29</v>
      </c>
      <c r="G455" s="14">
        <v>3</v>
      </c>
      <c r="H455" s="14">
        <v>608</v>
      </c>
      <c r="I455" s="14">
        <v>1824</v>
      </c>
      <c r="J455" s="14">
        <v>1009.92</v>
      </c>
      <c r="K455" s="14">
        <v>814.08</v>
      </c>
      <c r="L455" s="14" t="s">
        <v>18</v>
      </c>
      <c r="M455" s="14" t="s">
        <v>44</v>
      </c>
    </row>
    <row r="456" spans="1:13" x14ac:dyDescent="0.25">
      <c r="A456" s="14" t="s">
        <v>493</v>
      </c>
      <c r="B456" s="15">
        <v>45304</v>
      </c>
      <c r="C456" s="14" t="s">
        <v>14</v>
      </c>
      <c r="D456" s="14" t="s">
        <v>22</v>
      </c>
      <c r="E456" s="14" t="s">
        <v>16</v>
      </c>
      <c r="F456" s="14" t="s">
        <v>29</v>
      </c>
      <c r="G456" s="14">
        <v>5</v>
      </c>
      <c r="H456" s="14">
        <v>612</v>
      </c>
      <c r="I456" s="14">
        <v>3060</v>
      </c>
      <c r="J456" s="14">
        <v>1647.77</v>
      </c>
      <c r="K456" s="14">
        <v>1412.23</v>
      </c>
      <c r="L456" s="14" t="s">
        <v>18</v>
      </c>
      <c r="M456" s="14" t="s">
        <v>44</v>
      </c>
    </row>
    <row r="457" spans="1:13" x14ac:dyDescent="0.25">
      <c r="A457" s="14" t="s">
        <v>494</v>
      </c>
      <c r="B457" s="15">
        <v>45530</v>
      </c>
      <c r="C457" s="14" t="s">
        <v>41</v>
      </c>
      <c r="D457" s="14" t="s">
        <v>28</v>
      </c>
      <c r="E457" s="14" t="s">
        <v>16</v>
      </c>
      <c r="F457" s="14" t="s">
        <v>64</v>
      </c>
      <c r="G457" s="14">
        <v>8</v>
      </c>
      <c r="H457" s="14">
        <v>848</v>
      </c>
      <c r="I457" s="14">
        <v>6784</v>
      </c>
      <c r="J457" s="14">
        <v>4012.46</v>
      </c>
      <c r="K457" s="14">
        <v>2771.54</v>
      </c>
      <c r="L457" s="14" t="s">
        <v>25</v>
      </c>
      <c r="M457" s="14" t="s">
        <v>26</v>
      </c>
    </row>
    <row r="458" spans="1:13" x14ac:dyDescent="0.25">
      <c r="A458" s="14" t="s">
        <v>495</v>
      </c>
      <c r="B458" s="15">
        <v>45328</v>
      </c>
      <c r="C458" s="14" t="s">
        <v>41</v>
      </c>
      <c r="D458" s="14" t="s">
        <v>42</v>
      </c>
      <c r="E458" s="14" t="s">
        <v>34</v>
      </c>
      <c r="F458" s="14" t="s">
        <v>35</v>
      </c>
      <c r="G458" s="14">
        <v>9</v>
      </c>
      <c r="H458" s="14">
        <v>664</v>
      </c>
      <c r="I458" s="14">
        <v>5976</v>
      </c>
      <c r="J458" s="14">
        <v>4101.9799999999996</v>
      </c>
      <c r="K458" s="14">
        <v>1874.02</v>
      </c>
      <c r="L458" s="14" t="s">
        <v>25</v>
      </c>
      <c r="M458" s="14" t="s">
        <v>30</v>
      </c>
    </row>
    <row r="459" spans="1:13" x14ac:dyDescent="0.25">
      <c r="A459" s="14" t="s">
        <v>496</v>
      </c>
      <c r="B459" s="15">
        <v>45356</v>
      </c>
      <c r="C459" s="14" t="s">
        <v>38</v>
      </c>
      <c r="D459" s="14" t="s">
        <v>15</v>
      </c>
      <c r="E459" s="14" t="s">
        <v>16</v>
      </c>
      <c r="F459" s="14" t="s">
        <v>29</v>
      </c>
      <c r="G459" s="14">
        <v>3</v>
      </c>
      <c r="H459" s="14">
        <v>284</v>
      </c>
      <c r="I459" s="14">
        <v>852</v>
      </c>
      <c r="J459" s="14">
        <v>637.14</v>
      </c>
      <c r="K459" s="14">
        <v>214.86</v>
      </c>
      <c r="L459" s="14" t="s">
        <v>25</v>
      </c>
      <c r="M459" s="14" t="s">
        <v>44</v>
      </c>
    </row>
    <row r="460" spans="1:13" x14ac:dyDescent="0.25">
      <c r="A460" s="14" t="s">
        <v>497</v>
      </c>
      <c r="B460" s="15">
        <v>45463</v>
      </c>
      <c r="C460" s="14" t="s">
        <v>14</v>
      </c>
      <c r="D460" s="14" t="s">
        <v>28</v>
      </c>
      <c r="E460" s="14" t="s">
        <v>16</v>
      </c>
      <c r="F460" s="14" t="s">
        <v>17</v>
      </c>
      <c r="G460" s="14">
        <v>1</v>
      </c>
      <c r="H460" s="14">
        <v>258</v>
      </c>
      <c r="I460" s="14">
        <v>258</v>
      </c>
      <c r="J460" s="14">
        <v>189.83</v>
      </c>
      <c r="K460" s="14">
        <v>68.17</v>
      </c>
      <c r="L460" s="14" t="s">
        <v>25</v>
      </c>
      <c r="M460" s="14" t="s">
        <v>44</v>
      </c>
    </row>
    <row r="461" spans="1:13" x14ac:dyDescent="0.25">
      <c r="A461" s="14" t="s">
        <v>498</v>
      </c>
      <c r="B461" s="15">
        <v>45360</v>
      </c>
      <c r="C461" s="14" t="s">
        <v>38</v>
      </c>
      <c r="D461" s="14" t="s">
        <v>22</v>
      </c>
      <c r="E461" s="14" t="s">
        <v>23</v>
      </c>
      <c r="F461" s="14" t="s">
        <v>43</v>
      </c>
      <c r="G461" s="14">
        <v>2</v>
      </c>
      <c r="H461" s="14">
        <v>938</v>
      </c>
      <c r="I461" s="14">
        <v>1876</v>
      </c>
      <c r="J461" s="14">
        <v>979.96</v>
      </c>
      <c r="K461" s="14">
        <v>896.04</v>
      </c>
      <c r="L461" s="14" t="s">
        <v>18</v>
      </c>
      <c r="M461" s="14" t="s">
        <v>30</v>
      </c>
    </row>
    <row r="462" spans="1:13" x14ac:dyDescent="0.25">
      <c r="A462" s="14" t="s">
        <v>499</v>
      </c>
      <c r="B462" s="15">
        <v>45576</v>
      </c>
      <c r="C462" s="14" t="s">
        <v>41</v>
      </c>
      <c r="D462" s="14" t="s">
        <v>15</v>
      </c>
      <c r="E462" s="14" t="s">
        <v>23</v>
      </c>
      <c r="F462" s="14" t="s">
        <v>39</v>
      </c>
      <c r="G462" s="14">
        <v>1</v>
      </c>
      <c r="H462" s="14">
        <v>312</v>
      </c>
      <c r="I462" s="14">
        <v>312</v>
      </c>
      <c r="J462" s="14">
        <v>235.32</v>
      </c>
      <c r="K462" s="14">
        <v>76.680000000000007</v>
      </c>
      <c r="L462" s="14" t="s">
        <v>25</v>
      </c>
      <c r="M462" s="14" t="s">
        <v>30</v>
      </c>
    </row>
    <row r="463" spans="1:13" x14ac:dyDescent="0.25">
      <c r="A463" s="14" t="s">
        <v>500</v>
      </c>
      <c r="B463" s="15">
        <v>45408</v>
      </c>
      <c r="C463" s="14" t="s">
        <v>14</v>
      </c>
      <c r="D463" s="14" t="s">
        <v>42</v>
      </c>
      <c r="E463" s="14" t="s">
        <v>34</v>
      </c>
      <c r="F463" s="14" t="s">
        <v>35</v>
      </c>
      <c r="G463" s="14">
        <v>10</v>
      </c>
      <c r="H463" s="14">
        <v>380</v>
      </c>
      <c r="I463" s="14">
        <v>3800</v>
      </c>
      <c r="J463" s="14">
        <v>2825.13</v>
      </c>
      <c r="K463" s="14">
        <v>974.87</v>
      </c>
      <c r="L463" s="14" t="s">
        <v>25</v>
      </c>
      <c r="M463" s="14" t="s">
        <v>19</v>
      </c>
    </row>
    <row r="464" spans="1:13" x14ac:dyDescent="0.25">
      <c r="A464" s="14" t="s">
        <v>501</v>
      </c>
      <c r="B464" s="15">
        <v>45341</v>
      </c>
      <c r="C464" s="14" t="s">
        <v>41</v>
      </c>
      <c r="D464" s="14" t="s">
        <v>15</v>
      </c>
      <c r="E464" s="14" t="s">
        <v>23</v>
      </c>
      <c r="F464" s="14" t="s">
        <v>43</v>
      </c>
      <c r="G464" s="14">
        <v>5</v>
      </c>
      <c r="H464" s="14">
        <v>26</v>
      </c>
      <c r="I464" s="14">
        <v>130</v>
      </c>
      <c r="J464" s="14">
        <v>66.02</v>
      </c>
      <c r="K464" s="14">
        <v>63.98</v>
      </c>
      <c r="L464" s="14" t="s">
        <v>18</v>
      </c>
      <c r="M464" s="14" t="s">
        <v>30</v>
      </c>
    </row>
    <row r="465" spans="1:13" x14ac:dyDescent="0.25">
      <c r="A465" s="14" t="s">
        <v>502</v>
      </c>
      <c r="B465" s="15">
        <v>45374</v>
      </c>
      <c r="C465" s="14" t="s">
        <v>21</v>
      </c>
      <c r="D465" s="14" t="s">
        <v>22</v>
      </c>
      <c r="E465" s="14" t="s">
        <v>16</v>
      </c>
      <c r="F465" s="14" t="s">
        <v>29</v>
      </c>
      <c r="G465" s="14">
        <v>5</v>
      </c>
      <c r="H465" s="14">
        <v>773</v>
      </c>
      <c r="I465" s="14">
        <v>3865</v>
      </c>
      <c r="J465" s="14">
        <v>2593.5300000000002</v>
      </c>
      <c r="K465" s="14">
        <v>1271.47</v>
      </c>
      <c r="L465" s="14" t="s">
        <v>18</v>
      </c>
      <c r="M465" s="14" t="s">
        <v>30</v>
      </c>
    </row>
    <row r="466" spans="1:13" x14ac:dyDescent="0.25">
      <c r="A466" s="14" t="s">
        <v>503</v>
      </c>
      <c r="B466" s="15">
        <v>45292</v>
      </c>
      <c r="C466" s="14" t="s">
        <v>41</v>
      </c>
      <c r="D466" s="14" t="s">
        <v>28</v>
      </c>
      <c r="E466" s="14" t="s">
        <v>34</v>
      </c>
      <c r="F466" s="14" t="s">
        <v>53</v>
      </c>
      <c r="G466" s="14">
        <v>4</v>
      </c>
      <c r="H466" s="14">
        <v>784</v>
      </c>
      <c r="I466" s="14">
        <v>3136</v>
      </c>
      <c r="J466" s="14">
        <v>2169.2399999999998</v>
      </c>
      <c r="K466" s="14">
        <v>966.76</v>
      </c>
      <c r="L466" s="14" t="s">
        <v>18</v>
      </c>
      <c r="M466" s="14" t="s">
        <v>30</v>
      </c>
    </row>
    <row r="467" spans="1:13" x14ac:dyDescent="0.25">
      <c r="A467" s="14" t="s">
        <v>504</v>
      </c>
      <c r="B467" s="15">
        <v>45418</v>
      </c>
      <c r="C467" s="14" t="s">
        <v>14</v>
      </c>
      <c r="D467" s="14" t="s">
        <v>15</v>
      </c>
      <c r="E467" s="14" t="s">
        <v>23</v>
      </c>
      <c r="F467" s="14" t="s">
        <v>24</v>
      </c>
      <c r="G467" s="14">
        <v>3</v>
      </c>
      <c r="H467" s="14">
        <v>259</v>
      </c>
      <c r="I467" s="14">
        <v>777</v>
      </c>
      <c r="J467" s="14">
        <v>509.75</v>
      </c>
      <c r="K467" s="14">
        <v>267.25</v>
      </c>
      <c r="L467" s="14" t="s">
        <v>18</v>
      </c>
      <c r="M467" s="14" t="s">
        <v>44</v>
      </c>
    </row>
    <row r="468" spans="1:13" x14ac:dyDescent="0.25">
      <c r="A468" s="14" t="s">
        <v>505</v>
      </c>
      <c r="B468" s="15">
        <v>45307</v>
      </c>
      <c r="C468" s="14" t="s">
        <v>41</v>
      </c>
      <c r="D468" s="14" t="s">
        <v>22</v>
      </c>
      <c r="E468" s="14" t="s">
        <v>16</v>
      </c>
      <c r="F468" s="14" t="s">
        <v>64</v>
      </c>
      <c r="G468" s="14">
        <v>6</v>
      </c>
      <c r="H468" s="14">
        <v>590</v>
      </c>
      <c r="I468" s="14">
        <v>3540</v>
      </c>
      <c r="J468" s="14">
        <v>2439.6</v>
      </c>
      <c r="K468" s="14">
        <v>1100.4000000000001</v>
      </c>
      <c r="L468" s="14" t="s">
        <v>18</v>
      </c>
      <c r="M468" s="14" t="s">
        <v>44</v>
      </c>
    </row>
    <row r="469" spans="1:13" x14ac:dyDescent="0.25">
      <c r="A469" s="14" t="s">
        <v>506</v>
      </c>
      <c r="B469" s="15">
        <v>45437</v>
      </c>
      <c r="C469" s="14" t="s">
        <v>21</v>
      </c>
      <c r="D469" s="14" t="s">
        <v>22</v>
      </c>
      <c r="E469" s="14" t="s">
        <v>34</v>
      </c>
      <c r="F469" s="14" t="s">
        <v>47</v>
      </c>
      <c r="G469" s="14">
        <v>10</v>
      </c>
      <c r="H469" s="14">
        <v>215</v>
      </c>
      <c r="I469" s="14">
        <v>2150</v>
      </c>
      <c r="J469" s="14">
        <v>1436.45</v>
      </c>
      <c r="K469" s="14">
        <v>713.55</v>
      </c>
      <c r="L469" s="14" t="s">
        <v>25</v>
      </c>
      <c r="M469" s="14" t="s">
        <v>30</v>
      </c>
    </row>
    <row r="470" spans="1:13" x14ac:dyDescent="0.25">
      <c r="A470" s="14" t="s">
        <v>507</v>
      </c>
      <c r="B470" s="15">
        <v>45300</v>
      </c>
      <c r="C470" s="14" t="s">
        <v>41</v>
      </c>
      <c r="D470" s="14" t="s">
        <v>15</v>
      </c>
      <c r="E470" s="14" t="s">
        <v>34</v>
      </c>
      <c r="F470" s="14" t="s">
        <v>35</v>
      </c>
      <c r="G470" s="14">
        <v>6</v>
      </c>
      <c r="H470" s="14">
        <v>63</v>
      </c>
      <c r="I470" s="14">
        <v>378</v>
      </c>
      <c r="J470" s="14">
        <v>251.71</v>
      </c>
      <c r="K470" s="14">
        <v>126.29</v>
      </c>
      <c r="L470" s="14" t="s">
        <v>25</v>
      </c>
      <c r="M470" s="14" t="s">
        <v>19</v>
      </c>
    </row>
    <row r="471" spans="1:13" x14ac:dyDescent="0.25">
      <c r="A471" s="14" t="s">
        <v>508</v>
      </c>
      <c r="B471" s="15">
        <v>45547</v>
      </c>
      <c r="C471" s="14" t="s">
        <v>41</v>
      </c>
      <c r="D471" s="14" t="s">
        <v>28</v>
      </c>
      <c r="E471" s="14" t="s">
        <v>23</v>
      </c>
      <c r="F471" s="14" t="s">
        <v>43</v>
      </c>
      <c r="G471" s="14">
        <v>7</v>
      </c>
      <c r="H471" s="14">
        <v>810</v>
      </c>
      <c r="I471" s="14">
        <v>5670</v>
      </c>
      <c r="J471" s="14">
        <v>3050.38</v>
      </c>
      <c r="K471" s="14">
        <v>2619.62</v>
      </c>
      <c r="L471" s="14" t="s">
        <v>18</v>
      </c>
      <c r="M471" s="14" t="s">
        <v>19</v>
      </c>
    </row>
    <row r="472" spans="1:13" x14ac:dyDescent="0.25">
      <c r="A472" s="14" t="s">
        <v>509</v>
      </c>
      <c r="B472" s="15">
        <v>45375</v>
      </c>
      <c r="C472" s="14" t="s">
        <v>14</v>
      </c>
      <c r="D472" s="14" t="s">
        <v>28</v>
      </c>
      <c r="E472" s="14" t="s">
        <v>34</v>
      </c>
      <c r="F472" s="14" t="s">
        <v>53</v>
      </c>
      <c r="G472" s="14">
        <v>3</v>
      </c>
      <c r="H472" s="14">
        <v>346</v>
      </c>
      <c r="I472" s="14">
        <v>1038</v>
      </c>
      <c r="J472" s="14">
        <v>572.19000000000005</v>
      </c>
      <c r="K472" s="14">
        <v>465.81</v>
      </c>
      <c r="L472" s="14" t="s">
        <v>18</v>
      </c>
      <c r="M472" s="14" t="s">
        <v>44</v>
      </c>
    </row>
    <row r="473" spans="1:13" x14ac:dyDescent="0.25">
      <c r="A473" s="14" t="s">
        <v>510</v>
      </c>
      <c r="B473" s="15">
        <v>45577</v>
      </c>
      <c r="C473" s="14" t="s">
        <v>21</v>
      </c>
      <c r="D473" s="14" t="s">
        <v>28</v>
      </c>
      <c r="E473" s="14" t="s">
        <v>16</v>
      </c>
      <c r="F473" s="14" t="s">
        <v>29</v>
      </c>
      <c r="G473" s="14">
        <v>5</v>
      </c>
      <c r="H473" s="14">
        <v>638</v>
      </c>
      <c r="I473" s="14">
        <v>3190</v>
      </c>
      <c r="J473" s="14">
        <v>2170.29</v>
      </c>
      <c r="K473" s="14">
        <v>1019.71</v>
      </c>
      <c r="L473" s="14" t="s">
        <v>25</v>
      </c>
      <c r="M473" s="14" t="s">
        <v>30</v>
      </c>
    </row>
    <row r="474" spans="1:13" x14ac:dyDescent="0.25">
      <c r="A474" s="14" t="s">
        <v>511</v>
      </c>
      <c r="B474" s="15">
        <v>45443</v>
      </c>
      <c r="C474" s="14" t="s">
        <v>21</v>
      </c>
      <c r="D474" s="14" t="s">
        <v>15</v>
      </c>
      <c r="E474" s="14" t="s">
        <v>16</v>
      </c>
      <c r="F474" s="14" t="s">
        <v>64</v>
      </c>
      <c r="G474" s="14">
        <v>2</v>
      </c>
      <c r="H474" s="14">
        <v>414</v>
      </c>
      <c r="I474" s="14">
        <v>828</v>
      </c>
      <c r="J474" s="14">
        <v>457.29</v>
      </c>
      <c r="K474" s="14">
        <v>370.71</v>
      </c>
      <c r="L474" s="14" t="s">
        <v>18</v>
      </c>
      <c r="M474" s="14" t="s">
        <v>19</v>
      </c>
    </row>
    <row r="475" spans="1:13" x14ac:dyDescent="0.25">
      <c r="A475" s="14" t="s">
        <v>512</v>
      </c>
      <c r="B475" s="15">
        <v>45377</v>
      </c>
      <c r="C475" s="14" t="s">
        <v>38</v>
      </c>
      <c r="D475" s="14" t="s">
        <v>15</v>
      </c>
      <c r="E475" s="14" t="s">
        <v>16</v>
      </c>
      <c r="F475" s="14" t="s">
        <v>64</v>
      </c>
      <c r="G475" s="14">
        <v>6</v>
      </c>
      <c r="H475" s="14">
        <v>596</v>
      </c>
      <c r="I475" s="14">
        <v>3576</v>
      </c>
      <c r="J475" s="14">
        <v>2523.67</v>
      </c>
      <c r="K475" s="14">
        <v>1052.33</v>
      </c>
      <c r="L475" s="14" t="s">
        <v>18</v>
      </c>
      <c r="M475" s="14" t="s">
        <v>26</v>
      </c>
    </row>
    <row r="476" spans="1:13" x14ac:dyDescent="0.25">
      <c r="A476" s="14" t="s">
        <v>513</v>
      </c>
      <c r="B476" s="15">
        <v>45530</v>
      </c>
      <c r="C476" s="14" t="s">
        <v>38</v>
      </c>
      <c r="D476" s="14" t="s">
        <v>15</v>
      </c>
      <c r="E476" s="14" t="s">
        <v>23</v>
      </c>
      <c r="F476" s="14" t="s">
        <v>39</v>
      </c>
      <c r="G476" s="14">
        <v>9</v>
      </c>
      <c r="H476" s="14">
        <v>716</v>
      </c>
      <c r="I476" s="14">
        <v>6444</v>
      </c>
      <c r="J476" s="14">
        <v>3697.74</v>
      </c>
      <c r="K476" s="14">
        <v>2746.26</v>
      </c>
      <c r="L476" s="14" t="s">
        <v>18</v>
      </c>
      <c r="M476" s="14" t="s">
        <v>30</v>
      </c>
    </row>
    <row r="477" spans="1:13" x14ac:dyDescent="0.25">
      <c r="A477" s="14" t="s">
        <v>514</v>
      </c>
      <c r="B477" s="15">
        <v>45428</v>
      </c>
      <c r="C477" s="14" t="s">
        <v>21</v>
      </c>
      <c r="D477" s="14" t="s">
        <v>15</v>
      </c>
      <c r="E477" s="14" t="s">
        <v>16</v>
      </c>
      <c r="F477" s="14" t="s">
        <v>29</v>
      </c>
      <c r="G477" s="14">
        <v>5</v>
      </c>
      <c r="H477" s="14">
        <v>953</v>
      </c>
      <c r="I477" s="14">
        <v>4765</v>
      </c>
      <c r="J477" s="14">
        <v>3096.62</v>
      </c>
      <c r="K477" s="14">
        <v>1668.38</v>
      </c>
      <c r="L477" s="14" t="s">
        <v>25</v>
      </c>
      <c r="M477" s="14" t="s">
        <v>30</v>
      </c>
    </row>
    <row r="478" spans="1:13" x14ac:dyDescent="0.25">
      <c r="A478" s="14" t="s">
        <v>515</v>
      </c>
      <c r="B478" s="15">
        <v>45310</v>
      </c>
      <c r="C478" s="14" t="s">
        <v>21</v>
      </c>
      <c r="D478" s="14" t="s">
        <v>15</v>
      </c>
      <c r="E478" s="14" t="s">
        <v>23</v>
      </c>
      <c r="F478" s="14" t="s">
        <v>43</v>
      </c>
      <c r="G478" s="14">
        <v>8</v>
      </c>
      <c r="H478" s="14">
        <v>559</v>
      </c>
      <c r="I478" s="14">
        <v>4472</v>
      </c>
      <c r="J478" s="14">
        <v>3076.79</v>
      </c>
      <c r="K478" s="14">
        <v>1395.21</v>
      </c>
      <c r="L478" s="14" t="s">
        <v>25</v>
      </c>
      <c r="M478" s="14" t="s">
        <v>26</v>
      </c>
    </row>
    <row r="479" spans="1:13" x14ac:dyDescent="0.25">
      <c r="A479" s="14" t="s">
        <v>516</v>
      </c>
      <c r="B479" s="15">
        <v>45385</v>
      </c>
      <c r="C479" s="14" t="s">
        <v>38</v>
      </c>
      <c r="D479" s="14" t="s">
        <v>15</v>
      </c>
      <c r="E479" s="14" t="s">
        <v>34</v>
      </c>
      <c r="F479" s="14" t="s">
        <v>53</v>
      </c>
      <c r="G479" s="14">
        <v>4</v>
      </c>
      <c r="H479" s="14">
        <v>844</v>
      </c>
      <c r="I479" s="14">
        <v>3376</v>
      </c>
      <c r="J479" s="14">
        <v>2367.6799999999998</v>
      </c>
      <c r="K479" s="14">
        <v>1008.32</v>
      </c>
      <c r="L479" s="14" t="s">
        <v>18</v>
      </c>
      <c r="M479" s="14" t="s">
        <v>26</v>
      </c>
    </row>
    <row r="480" spans="1:13" x14ac:dyDescent="0.25">
      <c r="A480" s="14" t="s">
        <v>517</v>
      </c>
      <c r="B480" s="15">
        <v>45317</v>
      </c>
      <c r="C480" s="14" t="s">
        <v>14</v>
      </c>
      <c r="D480" s="14" t="s">
        <v>42</v>
      </c>
      <c r="E480" s="14" t="s">
        <v>34</v>
      </c>
      <c r="F480" s="14" t="s">
        <v>53</v>
      </c>
      <c r="G480" s="14">
        <v>7</v>
      </c>
      <c r="H480" s="14">
        <v>477</v>
      </c>
      <c r="I480" s="14">
        <v>3339</v>
      </c>
      <c r="J480" s="14">
        <v>2122.3000000000002</v>
      </c>
      <c r="K480" s="14">
        <v>1216.7</v>
      </c>
      <c r="L480" s="14" t="s">
        <v>25</v>
      </c>
      <c r="M480" s="14" t="s">
        <v>30</v>
      </c>
    </row>
    <row r="481" spans="1:13" x14ac:dyDescent="0.25">
      <c r="A481" s="14" t="s">
        <v>518</v>
      </c>
      <c r="B481" s="15">
        <v>45576</v>
      </c>
      <c r="C481" s="14" t="s">
        <v>14</v>
      </c>
      <c r="D481" s="14" t="s">
        <v>22</v>
      </c>
      <c r="E481" s="14" t="s">
        <v>23</v>
      </c>
      <c r="F481" s="14" t="s">
        <v>39</v>
      </c>
      <c r="G481" s="14">
        <v>1</v>
      </c>
      <c r="H481" s="14">
        <v>220</v>
      </c>
      <c r="I481" s="14">
        <v>220</v>
      </c>
      <c r="J481" s="14">
        <v>162.72999999999999</v>
      </c>
      <c r="K481" s="14">
        <v>57.27</v>
      </c>
      <c r="L481" s="14" t="s">
        <v>18</v>
      </c>
      <c r="M481" s="14" t="s">
        <v>19</v>
      </c>
    </row>
    <row r="482" spans="1:13" x14ac:dyDescent="0.25">
      <c r="A482" s="14" t="s">
        <v>519</v>
      </c>
      <c r="B482" s="15">
        <v>45587</v>
      </c>
      <c r="C482" s="14" t="s">
        <v>41</v>
      </c>
      <c r="D482" s="14" t="s">
        <v>42</v>
      </c>
      <c r="E482" s="14" t="s">
        <v>23</v>
      </c>
      <c r="F482" s="14" t="s">
        <v>24</v>
      </c>
      <c r="G482" s="14">
        <v>9</v>
      </c>
      <c r="H482" s="14">
        <v>936</v>
      </c>
      <c r="I482" s="14">
        <v>8424</v>
      </c>
      <c r="J482" s="14">
        <v>6144.72</v>
      </c>
      <c r="K482" s="14">
        <v>2279.2800000000002</v>
      </c>
      <c r="L482" s="14" t="s">
        <v>18</v>
      </c>
      <c r="M482" s="14" t="s">
        <v>19</v>
      </c>
    </row>
    <row r="483" spans="1:13" x14ac:dyDescent="0.25">
      <c r="A483" s="14" t="s">
        <v>520</v>
      </c>
      <c r="B483" s="15">
        <v>45507</v>
      </c>
      <c r="C483" s="14" t="s">
        <v>14</v>
      </c>
      <c r="D483" s="14" t="s">
        <v>22</v>
      </c>
      <c r="E483" s="14" t="s">
        <v>34</v>
      </c>
      <c r="F483" s="14" t="s">
        <v>35</v>
      </c>
      <c r="G483" s="14">
        <v>1</v>
      </c>
      <c r="H483" s="14">
        <v>476</v>
      </c>
      <c r="I483" s="14">
        <v>476</v>
      </c>
      <c r="J483" s="14">
        <v>344.11</v>
      </c>
      <c r="K483" s="14">
        <v>131.88999999999999</v>
      </c>
      <c r="L483" s="14" t="s">
        <v>18</v>
      </c>
      <c r="M483" s="14" t="s">
        <v>44</v>
      </c>
    </row>
    <row r="484" spans="1:13" x14ac:dyDescent="0.25">
      <c r="A484" s="14" t="s">
        <v>521</v>
      </c>
      <c r="B484" s="15">
        <v>45346</v>
      </c>
      <c r="C484" s="14" t="s">
        <v>21</v>
      </c>
      <c r="D484" s="14" t="s">
        <v>28</v>
      </c>
      <c r="E484" s="14" t="s">
        <v>34</v>
      </c>
      <c r="F484" s="14" t="s">
        <v>53</v>
      </c>
      <c r="G484" s="14">
        <v>9</v>
      </c>
      <c r="H484" s="14">
        <v>245</v>
      </c>
      <c r="I484" s="14">
        <v>2205</v>
      </c>
      <c r="J484" s="14">
        <v>1379.11</v>
      </c>
      <c r="K484" s="14">
        <v>825.89</v>
      </c>
      <c r="L484" s="14" t="s">
        <v>25</v>
      </c>
      <c r="M484" s="14" t="s">
        <v>26</v>
      </c>
    </row>
    <row r="485" spans="1:13" x14ac:dyDescent="0.25">
      <c r="A485" s="14" t="s">
        <v>522</v>
      </c>
      <c r="B485" s="15">
        <v>45295</v>
      </c>
      <c r="C485" s="14" t="s">
        <v>14</v>
      </c>
      <c r="D485" s="14" t="s">
        <v>22</v>
      </c>
      <c r="E485" s="14" t="s">
        <v>16</v>
      </c>
      <c r="F485" s="14" t="s">
        <v>29</v>
      </c>
      <c r="G485" s="14">
        <v>9</v>
      </c>
      <c r="H485" s="14">
        <v>425</v>
      </c>
      <c r="I485" s="14">
        <v>3825</v>
      </c>
      <c r="J485" s="14">
        <v>2801.63</v>
      </c>
      <c r="K485" s="14">
        <v>1023.37</v>
      </c>
      <c r="L485" s="14" t="s">
        <v>25</v>
      </c>
      <c r="M485" s="14" t="s">
        <v>44</v>
      </c>
    </row>
    <row r="486" spans="1:13" x14ac:dyDescent="0.25">
      <c r="A486" s="14" t="s">
        <v>523</v>
      </c>
      <c r="B486" s="15">
        <v>45390</v>
      </c>
      <c r="C486" s="14" t="s">
        <v>21</v>
      </c>
      <c r="D486" s="14" t="s">
        <v>42</v>
      </c>
      <c r="E486" s="14" t="s">
        <v>23</v>
      </c>
      <c r="F486" s="14" t="s">
        <v>39</v>
      </c>
      <c r="G486" s="14">
        <v>5</v>
      </c>
      <c r="H486" s="14">
        <v>746</v>
      </c>
      <c r="I486" s="14">
        <v>3730</v>
      </c>
      <c r="J486" s="14">
        <v>2366.14</v>
      </c>
      <c r="K486" s="14">
        <v>1363.86</v>
      </c>
      <c r="L486" s="14" t="s">
        <v>18</v>
      </c>
      <c r="M486" s="14" t="s">
        <v>30</v>
      </c>
    </row>
    <row r="487" spans="1:13" x14ac:dyDescent="0.25">
      <c r="A487" s="14" t="s">
        <v>524</v>
      </c>
      <c r="B487" s="15">
        <v>45483</v>
      </c>
      <c r="C487" s="14" t="s">
        <v>21</v>
      </c>
      <c r="D487" s="14" t="s">
        <v>42</v>
      </c>
      <c r="E487" s="14" t="s">
        <v>23</v>
      </c>
      <c r="F487" s="14" t="s">
        <v>43</v>
      </c>
      <c r="G487" s="14">
        <v>10</v>
      </c>
      <c r="H487" s="14">
        <v>331</v>
      </c>
      <c r="I487" s="14">
        <v>3310</v>
      </c>
      <c r="J487" s="14">
        <v>1847.63</v>
      </c>
      <c r="K487" s="14">
        <v>1462.37</v>
      </c>
      <c r="L487" s="14" t="s">
        <v>18</v>
      </c>
      <c r="M487" s="14" t="s">
        <v>19</v>
      </c>
    </row>
    <row r="488" spans="1:13" x14ac:dyDescent="0.25">
      <c r="A488" s="14" t="s">
        <v>525</v>
      </c>
      <c r="B488" s="15">
        <v>45550</v>
      </c>
      <c r="C488" s="14" t="s">
        <v>41</v>
      </c>
      <c r="D488" s="14" t="s">
        <v>42</v>
      </c>
      <c r="E488" s="14" t="s">
        <v>16</v>
      </c>
      <c r="F488" s="14" t="s">
        <v>17</v>
      </c>
      <c r="G488" s="14">
        <v>1</v>
      </c>
      <c r="H488" s="14">
        <v>661</v>
      </c>
      <c r="I488" s="14">
        <v>661</v>
      </c>
      <c r="J488" s="14">
        <v>485.46</v>
      </c>
      <c r="K488" s="14">
        <v>175.54</v>
      </c>
      <c r="L488" s="14" t="s">
        <v>18</v>
      </c>
      <c r="M488" s="14" t="s">
        <v>19</v>
      </c>
    </row>
    <row r="489" spans="1:13" x14ac:dyDescent="0.25">
      <c r="A489" s="14" t="s">
        <v>526</v>
      </c>
      <c r="B489" s="15">
        <v>45348</v>
      </c>
      <c r="C489" s="14" t="s">
        <v>14</v>
      </c>
      <c r="D489" s="14" t="s">
        <v>42</v>
      </c>
      <c r="E489" s="14" t="s">
        <v>34</v>
      </c>
      <c r="F489" s="14" t="s">
        <v>53</v>
      </c>
      <c r="G489" s="14">
        <v>2</v>
      </c>
      <c r="H489" s="14">
        <v>793</v>
      </c>
      <c r="I489" s="14">
        <v>1586</v>
      </c>
      <c r="J489" s="14">
        <v>1244.17</v>
      </c>
      <c r="K489" s="14">
        <v>341.83</v>
      </c>
      <c r="L489" s="14" t="s">
        <v>18</v>
      </c>
      <c r="M489" s="14" t="s">
        <v>30</v>
      </c>
    </row>
    <row r="490" spans="1:13" x14ac:dyDescent="0.25">
      <c r="A490" s="14" t="s">
        <v>527</v>
      </c>
      <c r="B490" s="15">
        <v>45453</v>
      </c>
      <c r="C490" s="14" t="s">
        <v>21</v>
      </c>
      <c r="D490" s="14" t="s">
        <v>42</v>
      </c>
      <c r="E490" s="14" t="s">
        <v>23</v>
      </c>
      <c r="F490" s="14" t="s">
        <v>24</v>
      </c>
      <c r="G490" s="14">
        <v>10</v>
      </c>
      <c r="H490" s="14">
        <v>949</v>
      </c>
      <c r="I490" s="14">
        <v>9490</v>
      </c>
      <c r="J490" s="14">
        <v>7206.61</v>
      </c>
      <c r="K490" s="14">
        <v>2283.39</v>
      </c>
      <c r="L490" s="14" t="s">
        <v>18</v>
      </c>
      <c r="M490" s="14" t="s">
        <v>19</v>
      </c>
    </row>
    <row r="491" spans="1:13" x14ac:dyDescent="0.25">
      <c r="A491" s="14" t="s">
        <v>528</v>
      </c>
      <c r="B491" s="15">
        <v>45296</v>
      </c>
      <c r="C491" s="14" t="s">
        <v>21</v>
      </c>
      <c r="D491" s="14" t="s">
        <v>15</v>
      </c>
      <c r="E491" s="14" t="s">
        <v>23</v>
      </c>
      <c r="F491" s="14" t="s">
        <v>24</v>
      </c>
      <c r="G491" s="14">
        <v>7</v>
      </c>
      <c r="H491" s="14">
        <v>527</v>
      </c>
      <c r="I491" s="14">
        <v>3689</v>
      </c>
      <c r="J491" s="14">
        <v>2409.2800000000002</v>
      </c>
      <c r="K491" s="14">
        <v>1279.72</v>
      </c>
      <c r="L491" s="14" t="s">
        <v>25</v>
      </c>
      <c r="M491" s="14" t="s">
        <v>44</v>
      </c>
    </row>
    <row r="492" spans="1:13" x14ac:dyDescent="0.25">
      <c r="A492" s="14" t="s">
        <v>529</v>
      </c>
      <c r="B492" s="15">
        <v>45585</v>
      </c>
      <c r="C492" s="14" t="s">
        <v>14</v>
      </c>
      <c r="D492" s="14" t="s">
        <v>42</v>
      </c>
      <c r="E492" s="14" t="s">
        <v>16</v>
      </c>
      <c r="F492" s="14" t="s">
        <v>64</v>
      </c>
      <c r="G492" s="14">
        <v>3</v>
      </c>
      <c r="H492" s="14">
        <v>342</v>
      </c>
      <c r="I492" s="14">
        <v>1026</v>
      </c>
      <c r="J492" s="14">
        <v>692.18</v>
      </c>
      <c r="K492" s="14">
        <v>333.82</v>
      </c>
      <c r="L492" s="14" t="s">
        <v>18</v>
      </c>
      <c r="M492" s="14" t="s">
        <v>44</v>
      </c>
    </row>
    <row r="493" spans="1:13" x14ac:dyDescent="0.25">
      <c r="A493" s="14" t="s">
        <v>530</v>
      </c>
      <c r="B493" s="15">
        <v>45386</v>
      </c>
      <c r="C493" s="14" t="s">
        <v>41</v>
      </c>
      <c r="D493" s="14" t="s">
        <v>42</v>
      </c>
      <c r="E493" s="14" t="s">
        <v>34</v>
      </c>
      <c r="F493" s="14" t="s">
        <v>35</v>
      </c>
      <c r="G493" s="14">
        <v>5</v>
      </c>
      <c r="H493" s="14">
        <v>300</v>
      </c>
      <c r="I493" s="14">
        <v>1500</v>
      </c>
      <c r="J493" s="14">
        <v>816.11</v>
      </c>
      <c r="K493" s="14">
        <v>683.89</v>
      </c>
      <c r="L493" s="14" t="s">
        <v>25</v>
      </c>
      <c r="M493" s="14" t="s">
        <v>44</v>
      </c>
    </row>
    <row r="494" spans="1:13" x14ac:dyDescent="0.25">
      <c r="A494" s="14" t="s">
        <v>531</v>
      </c>
      <c r="B494" s="15">
        <v>45403</v>
      </c>
      <c r="C494" s="14" t="s">
        <v>21</v>
      </c>
      <c r="D494" s="14" t="s">
        <v>15</v>
      </c>
      <c r="E494" s="14" t="s">
        <v>23</v>
      </c>
      <c r="F494" s="14" t="s">
        <v>39</v>
      </c>
      <c r="G494" s="14">
        <v>1</v>
      </c>
      <c r="H494" s="14">
        <v>787</v>
      </c>
      <c r="I494" s="14">
        <v>787</v>
      </c>
      <c r="J494" s="14">
        <v>477.47</v>
      </c>
      <c r="K494" s="14">
        <v>309.52999999999997</v>
      </c>
      <c r="L494" s="14" t="s">
        <v>18</v>
      </c>
      <c r="M494" s="14" t="s">
        <v>44</v>
      </c>
    </row>
    <row r="495" spans="1:13" x14ac:dyDescent="0.25">
      <c r="A495" s="14" t="s">
        <v>532</v>
      </c>
      <c r="B495" s="15">
        <v>45548</v>
      </c>
      <c r="C495" s="14" t="s">
        <v>14</v>
      </c>
      <c r="D495" s="14" t="s">
        <v>22</v>
      </c>
      <c r="E495" s="14" t="s">
        <v>16</v>
      </c>
      <c r="F495" s="14" t="s">
        <v>64</v>
      </c>
      <c r="G495" s="14">
        <v>6</v>
      </c>
      <c r="H495" s="14">
        <v>30</v>
      </c>
      <c r="I495" s="14">
        <v>180</v>
      </c>
      <c r="J495" s="14">
        <v>124.5</v>
      </c>
      <c r="K495" s="14">
        <v>55.5</v>
      </c>
      <c r="L495" s="14" t="s">
        <v>18</v>
      </c>
      <c r="M495" s="14" t="s">
        <v>44</v>
      </c>
    </row>
    <row r="496" spans="1:13" x14ac:dyDescent="0.25">
      <c r="A496" s="14" t="s">
        <v>533</v>
      </c>
      <c r="B496" s="15">
        <v>45514</v>
      </c>
      <c r="C496" s="14" t="s">
        <v>38</v>
      </c>
      <c r="D496" s="14" t="s">
        <v>42</v>
      </c>
      <c r="E496" s="14" t="s">
        <v>34</v>
      </c>
      <c r="F496" s="14" t="s">
        <v>47</v>
      </c>
      <c r="G496" s="14">
        <v>9</v>
      </c>
      <c r="H496" s="14">
        <v>569</v>
      </c>
      <c r="I496" s="14">
        <v>5121</v>
      </c>
      <c r="J496" s="14">
        <v>2735.91</v>
      </c>
      <c r="K496" s="14">
        <v>2385.09</v>
      </c>
      <c r="L496" s="14" t="s">
        <v>18</v>
      </c>
      <c r="M496" s="14" t="s">
        <v>19</v>
      </c>
    </row>
    <row r="497" spans="1:13" x14ac:dyDescent="0.25">
      <c r="A497" s="14" t="s">
        <v>534</v>
      </c>
      <c r="B497" s="15">
        <v>45325</v>
      </c>
      <c r="C497" s="14" t="s">
        <v>21</v>
      </c>
      <c r="D497" s="14" t="s">
        <v>22</v>
      </c>
      <c r="E497" s="14" t="s">
        <v>16</v>
      </c>
      <c r="F497" s="14" t="s">
        <v>29</v>
      </c>
      <c r="G497" s="14">
        <v>2</v>
      </c>
      <c r="H497" s="14">
        <v>549</v>
      </c>
      <c r="I497" s="14">
        <v>1098</v>
      </c>
      <c r="J497" s="14">
        <v>690.05</v>
      </c>
      <c r="K497" s="14">
        <v>407.95</v>
      </c>
      <c r="L497" s="14" t="s">
        <v>18</v>
      </c>
      <c r="M497" s="14" t="s">
        <v>26</v>
      </c>
    </row>
    <row r="498" spans="1:13" x14ac:dyDescent="0.25">
      <c r="A498" s="14" t="s">
        <v>535</v>
      </c>
      <c r="B498" s="15">
        <v>45490</v>
      </c>
      <c r="C498" s="14" t="s">
        <v>21</v>
      </c>
      <c r="D498" s="14" t="s">
        <v>22</v>
      </c>
      <c r="E498" s="14" t="s">
        <v>34</v>
      </c>
      <c r="F498" s="14" t="s">
        <v>53</v>
      </c>
      <c r="G498" s="14">
        <v>4</v>
      </c>
      <c r="H498" s="14">
        <v>626</v>
      </c>
      <c r="I498" s="14">
        <v>2504</v>
      </c>
      <c r="J498" s="14">
        <v>1587.07</v>
      </c>
      <c r="K498" s="14">
        <v>916.93</v>
      </c>
      <c r="L498" s="14" t="s">
        <v>18</v>
      </c>
      <c r="M498" s="14" t="s">
        <v>19</v>
      </c>
    </row>
    <row r="499" spans="1:13" x14ac:dyDescent="0.25">
      <c r="A499" s="14" t="s">
        <v>536</v>
      </c>
      <c r="B499" s="15">
        <v>45477</v>
      </c>
      <c r="C499" s="14" t="s">
        <v>38</v>
      </c>
      <c r="D499" s="14" t="s">
        <v>15</v>
      </c>
      <c r="E499" s="14" t="s">
        <v>23</v>
      </c>
      <c r="F499" s="14" t="s">
        <v>39</v>
      </c>
      <c r="G499" s="14">
        <v>6</v>
      </c>
      <c r="H499" s="14">
        <v>916</v>
      </c>
      <c r="I499" s="14">
        <v>5496</v>
      </c>
      <c r="J499" s="14">
        <v>3900.63</v>
      </c>
      <c r="K499" s="14">
        <v>1595.37</v>
      </c>
      <c r="L499" s="14" t="s">
        <v>18</v>
      </c>
      <c r="M499" s="14" t="s">
        <v>19</v>
      </c>
    </row>
    <row r="500" spans="1:13" x14ac:dyDescent="0.25">
      <c r="A500" s="14" t="s">
        <v>537</v>
      </c>
      <c r="B500" s="15">
        <v>45478</v>
      </c>
      <c r="C500" s="14" t="s">
        <v>38</v>
      </c>
      <c r="D500" s="14" t="s">
        <v>15</v>
      </c>
      <c r="E500" s="14" t="s">
        <v>23</v>
      </c>
      <c r="F500" s="14" t="s">
        <v>43</v>
      </c>
      <c r="G500" s="14">
        <v>3</v>
      </c>
      <c r="H500" s="14">
        <v>643</v>
      </c>
      <c r="I500" s="14">
        <v>1929</v>
      </c>
      <c r="J500" s="14">
        <v>1025.6199999999999</v>
      </c>
      <c r="K500" s="14">
        <v>903.38</v>
      </c>
      <c r="L500" s="14" t="s">
        <v>25</v>
      </c>
      <c r="M500" s="14" t="s">
        <v>30</v>
      </c>
    </row>
    <row r="501" spans="1:13" x14ac:dyDescent="0.25">
      <c r="A501" s="14" t="s">
        <v>538</v>
      </c>
      <c r="B501" s="15">
        <v>45383</v>
      </c>
      <c r="C501" s="14" t="s">
        <v>14</v>
      </c>
      <c r="D501" s="14" t="s">
        <v>22</v>
      </c>
      <c r="E501" s="14" t="s">
        <v>34</v>
      </c>
      <c r="F501" s="14" t="s">
        <v>47</v>
      </c>
      <c r="G501" s="14">
        <v>1</v>
      </c>
      <c r="H501" s="14">
        <v>512</v>
      </c>
      <c r="I501" s="14">
        <v>512</v>
      </c>
      <c r="J501" s="14">
        <v>330.65</v>
      </c>
      <c r="K501" s="14">
        <v>181.35</v>
      </c>
      <c r="L501" s="14" t="s">
        <v>25</v>
      </c>
      <c r="M501" s="14"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workbookViewId="0">
      <selection activeCell="A3" sqref="A3"/>
    </sheetView>
  </sheetViews>
  <sheetFormatPr defaultRowHeight="15" x14ac:dyDescent="0.25"/>
  <cols>
    <col min="1" max="1" width="10.5703125" customWidth="1"/>
    <col min="2" max="2" width="21" customWidth="1"/>
    <col min="3" max="3" width="9.28515625" customWidth="1"/>
    <col min="4" max="4" width="9" customWidth="1"/>
    <col min="5" max="5" width="13" customWidth="1"/>
    <col min="6" max="6" width="12" customWidth="1"/>
    <col min="7" max="7" width="10.85546875" customWidth="1"/>
    <col min="8" max="8" width="12" customWidth="1"/>
    <col min="9" max="9" width="7.7109375" customWidth="1"/>
    <col min="10" max="11" width="9" customWidth="1"/>
    <col min="12" max="12" width="16.42578125" customWidth="1"/>
    <col min="13" max="13" width="18.5703125" customWidth="1"/>
    <col min="14" max="14" width="9.42578125" customWidth="1"/>
    <col min="15" max="15" width="15.42578125" customWidth="1"/>
  </cols>
  <sheetData>
    <row r="1" spans="1:15" x14ac:dyDescent="0.25">
      <c r="A1" t="s">
        <v>0</v>
      </c>
      <c r="B1" t="s">
        <v>1</v>
      </c>
      <c r="C1" t="s">
        <v>2</v>
      </c>
      <c r="D1" t="s">
        <v>3</v>
      </c>
      <c r="E1" t="s">
        <v>4</v>
      </c>
      <c r="F1" t="s">
        <v>5</v>
      </c>
      <c r="G1" t="s">
        <v>6</v>
      </c>
      <c r="H1" t="s">
        <v>7</v>
      </c>
      <c r="I1" t="s">
        <v>8</v>
      </c>
      <c r="J1" t="s">
        <v>9</v>
      </c>
      <c r="K1" t="s">
        <v>10</v>
      </c>
      <c r="L1" t="s">
        <v>11</v>
      </c>
      <c r="M1" t="s">
        <v>12</v>
      </c>
      <c r="N1" t="s">
        <v>539</v>
      </c>
      <c r="O1" t="s">
        <v>540</v>
      </c>
    </row>
    <row r="2" spans="1:15" x14ac:dyDescent="0.25">
      <c r="A2" t="s">
        <v>13</v>
      </c>
      <c r="B2" s="1">
        <v>45324</v>
      </c>
      <c r="C2" t="s">
        <v>14</v>
      </c>
      <c r="D2" t="s">
        <v>15</v>
      </c>
      <c r="E2" t="s">
        <v>16</v>
      </c>
      <c r="F2" t="s">
        <v>17</v>
      </c>
      <c r="G2">
        <v>7</v>
      </c>
      <c r="H2">
        <v>807</v>
      </c>
      <c r="I2">
        <v>5649</v>
      </c>
      <c r="J2">
        <v>3723.78</v>
      </c>
      <c r="K2">
        <v>1925.22</v>
      </c>
      <c r="L2" t="s">
        <v>18</v>
      </c>
      <c r="M2" t="s">
        <v>19</v>
      </c>
      <c r="N2" t="str">
        <f>TEXT(SalesData[[#This Row],[Order Date]],"MMM-YYYY")</f>
        <v>Feb-2024</v>
      </c>
      <c r="O2" s="2">
        <f>SalesData[[#This Row],[Profit]]/SalesData[[#This Row],[Sales]]</f>
        <v>0.3408072225172597</v>
      </c>
    </row>
    <row r="3" spans="1:15" x14ac:dyDescent="0.25">
      <c r="A3" t="s">
        <v>20</v>
      </c>
      <c r="B3" s="1">
        <v>45328</v>
      </c>
      <c r="C3" t="s">
        <v>21</v>
      </c>
      <c r="D3" t="s">
        <v>22</v>
      </c>
      <c r="E3" t="s">
        <v>23</v>
      </c>
      <c r="F3" t="s">
        <v>24</v>
      </c>
      <c r="G3">
        <v>4</v>
      </c>
      <c r="H3">
        <v>798</v>
      </c>
      <c r="I3">
        <v>3192</v>
      </c>
      <c r="J3">
        <v>2524.98</v>
      </c>
      <c r="K3">
        <v>667.02</v>
      </c>
      <c r="L3" t="s">
        <v>25</v>
      </c>
      <c r="M3" t="s">
        <v>26</v>
      </c>
      <c r="N3" t="str">
        <f>TEXT(SalesData[[#This Row],[Order Date]],"MMM-YYYY")</f>
        <v>Feb-2024</v>
      </c>
      <c r="O3" s="2">
        <f>SalesData[[#This Row],[Profit]]/SalesData[[#This Row],[Sales]]</f>
        <v>0.20896616541353383</v>
      </c>
    </row>
    <row r="4" spans="1:15" x14ac:dyDescent="0.25">
      <c r="A4" t="s">
        <v>27</v>
      </c>
      <c r="B4" s="1">
        <v>45503</v>
      </c>
      <c r="C4" t="s">
        <v>14</v>
      </c>
      <c r="D4" t="s">
        <v>28</v>
      </c>
      <c r="E4" t="s">
        <v>16</v>
      </c>
      <c r="F4" t="s">
        <v>29</v>
      </c>
      <c r="G4">
        <v>3</v>
      </c>
      <c r="H4">
        <v>209</v>
      </c>
      <c r="I4">
        <v>627</v>
      </c>
      <c r="J4">
        <v>491.51</v>
      </c>
      <c r="K4">
        <v>135.49</v>
      </c>
      <c r="L4" t="s">
        <v>18</v>
      </c>
      <c r="M4" t="s">
        <v>30</v>
      </c>
      <c r="N4" t="str">
        <f>TEXT(SalesData[[#This Row],[Order Date]],"MMM-YYYY")</f>
        <v>Jul-2024</v>
      </c>
      <c r="O4" s="2">
        <f>SalesData[[#This Row],[Profit]]/SalesData[[#This Row],[Sales]]</f>
        <v>0.21609250398724084</v>
      </c>
    </row>
    <row r="5" spans="1:15" x14ac:dyDescent="0.25">
      <c r="A5" t="s">
        <v>31</v>
      </c>
      <c r="B5" s="1">
        <v>45575</v>
      </c>
      <c r="C5" t="s">
        <v>21</v>
      </c>
      <c r="D5" t="s">
        <v>15</v>
      </c>
      <c r="E5" t="s">
        <v>16</v>
      </c>
      <c r="F5" t="s">
        <v>29</v>
      </c>
      <c r="G5">
        <v>4</v>
      </c>
      <c r="H5">
        <v>570</v>
      </c>
      <c r="I5">
        <v>2280</v>
      </c>
      <c r="J5">
        <v>1318.88</v>
      </c>
      <c r="K5">
        <v>961.12</v>
      </c>
      <c r="L5" t="s">
        <v>18</v>
      </c>
      <c r="M5" t="s">
        <v>26</v>
      </c>
      <c r="N5" t="str">
        <f>TEXT(SalesData[[#This Row],[Order Date]],"MMM-YYYY")</f>
        <v>Oct-2024</v>
      </c>
      <c r="O5" s="2">
        <f>SalesData[[#This Row],[Profit]]/SalesData[[#This Row],[Sales]]</f>
        <v>0.42154385964912283</v>
      </c>
    </row>
    <row r="6" spans="1:15" x14ac:dyDescent="0.25">
      <c r="A6" t="s">
        <v>32</v>
      </c>
      <c r="B6" s="1">
        <v>45381</v>
      </c>
      <c r="C6" t="s">
        <v>21</v>
      </c>
      <c r="D6" t="s">
        <v>15</v>
      </c>
      <c r="E6" t="s">
        <v>16</v>
      </c>
      <c r="F6" t="s">
        <v>17</v>
      </c>
      <c r="G6">
        <v>1</v>
      </c>
      <c r="H6">
        <v>290</v>
      </c>
      <c r="I6">
        <v>290</v>
      </c>
      <c r="J6">
        <v>177.03</v>
      </c>
      <c r="K6">
        <v>112.97</v>
      </c>
      <c r="L6" t="s">
        <v>18</v>
      </c>
      <c r="M6" t="s">
        <v>26</v>
      </c>
      <c r="N6" t="str">
        <f>TEXT(SalesData[[#This Row],[Order Date]],"MMM-YYYY")</f>
        <v>Mar-2024</v>
      </c>
      <c r="O6" s="2">
        <f>SalesData[[#This Row],[Profit]]/SalesData[[#This Row],[Sales]]</f>
        <v>0.38955172413793104</v>
      </c>
    </row>
    <row r="7" spans="1:15" x14ac:dyDescent="0.25">
      <c r="A7" t="s">
        <v>33</v>
      </c>
      <c r="B7" s="1">
        <v>45301</v>
      </c>
      <c r="C7" t="s">
        <v>21</v>
      </c>
      <c r="D7" t="s">
        <v>15</v>
      </c>
      <c r="E7" t="s">
        <v>34</v>
      </c>
      <c r="F7" t="s">
        <v>35</v>
      </c>
      <c r="G7">
        <v>5</v>
      </c>
      <c r="H7">
        <v>282</v>
      </c>
      <c r="I7">
        <v>1410</v>
      </c>
      <c r="J7">
        <v>900.67</v>
      </c>
      <c r="K7">
        <v>509.33</v>
      </c>
      <c r="L7" t="s">
        <v>25</v>
      </c>
      <c r="M7" t="s">
        <v>30</v>
      </c>
      <c r="N7" t="str">
        <f>TEXT(SalesData[[#This Row],[Order Date]],"MMM-YYYY")</f>
        <v>Jan-2024</v>
      </c>
      <c r="O7" s="2">
        <f>SalesData[[#This Row],[Profit]]/SalesData[[#This Row],[Sales]]</f>
        <v>0.36122695035460994</v>
      </c>
    </row>
    <row r="8" spans="1:15" x14ac:dyDescent="0.25">
      <c r="A8" t="s">
        <v>36</v>
      </c>
      <c r="B8" s="1">
        <v>45511</v>
      </c>
      <c r="C8" t="s">
        <v>14</v>
      </c>
      <c r="D8" t="s">
        <v>22</v>
      </c>
      <c r="E8" t="s">
        <v>34</v>
      </c>
      <c r="F8" t="s">
        <v>35</v>
      </c>
      <c r="G8">
        <v>1</v>
      </c>
      <c r="H8">
        <v>27</v>
      </c>
      <c r="I8">
        <v>27</v>
      </c>
      <c r="J8">
        <v>15.21</v>
      </c>
      <c r="K8">
        <v>11.79</v>
      </c>
      <c r="L8" t="s">
        <v>25</v>
      </c>
      <c r="M8" t="s">
        <v>26</v>
      </c>
      <c r="N8" t="str">
        <f>TEXT(SalesData[[#This Row],[Order Date]],"MMM-YYYY")</f>
        <v>Aug-2024</v>
      </c>
      <c r="O8" s="2">
        <f>SalesData[[#This Row],[Profit]]/SalesData[[#This Row],[Sales]]</f>
        <v>0.43666666666666665</v>
      </c>
    </row>
    <row r="9" spans="1:15" x14ac:dyDescent="0.25">
      <c r="A9" t="s">
        <v>37</v>
      </c>
      <c r="B9" s="1">
        <v>45404</v>
      </c>
      <c r="C9" t="s">
        <v>38</v>
      </c>
      <c r="D9" t="s">
        <v>22</v>
      </c>
      <c r="E9" t="s">
        <v>23</v>
      </c>
      <c r="F9" t="s">
        <v>39</v>
      </c>
      <c r="G9">
        <v>2</v>
      </c>
      <c r="H9">
        <v>566</v>
      </c>
      <c r="I9">
        <v>1132</v>
      </c>
      <c r="J9">
        <v>582.11</v>
      </c>
      <c r="K9">
        <v>549.89</v>
      </c>
      <c r="L9" t="s">
        <v>18</v>
      </c>
      <c r="M9" t="s">
        <v>26</v>
      </c>
      <c r="N9" t="str">
        <f>TEXT(SalesData[[#This Row],[Order Date]],"MMM-YYYY")</f>
        <v>Apr-2024</v>
      </c>
      <c r="O9" s="2">
        <f>SalesData[[#This Row],[Profit]]/SalesData[[#This Row],[Sales]]</f>
        <v>0.48576855123674911</v>
      </c>
    </row>
    <row r="10" spans="1:15" x14ac:dyDescent="0.25">
      <c r="A10" t="s">
        <v>40</v>
      </c>
      <c r="B10" s="1">
        <v>45508</v>
      </c>
      <c r="C10" t="s">
        <v>41</v>
      </c>
      <c r="D10" t="s">
        <v>42</v>
      </c>
      <c r="E10" t="s">
        <v>23</v>
      </c>
      <c r="F10" t="s">
        <v>43</v>
      </c>
      <c r="G10">
        <v>4</v>
      </c>
      <c r="H10">
        <v>617</v>
      </c>
      <c r="I10">
        <v>2468</v>
      </c>
      <c r="J10">
        <v>1800.63</v>
      </c>
      <c r="K10">
        <v>667.37</v>
      </c>
      <c r="L10" t="s">
        <v>25</v>
      </c>
      <c r="M10" t="s">
        <v>44</v>
      </c>
      <c r="N10" t="str">
        <f>TEXT(SalesData[[#This Row],[Order Date]],"MMM-YYYY")</f>
        <v>Aug-2024</v>
      </c>
      <c r="O10" s="2">
        <f>SalesData[[#This Row],[Profit]]/SalesData[[#This Row],[Sales]]</f>
        <v>0.27040923824959484</v>
      </c>
    </row>
    <row r="11" spans="1:15" x14ac:dyDescent="0.25">
      <c r="A11" t="s">
        <v>45</v>
      </c>
      <c r="B11" s="1">
        <v>45472</v>
      </c>
      <c r="C11" t="s">
        <v>14</v>
      </c>
      <c r="D11" t="s">
        <v>22</v>
      </c>
      <c r="E11" t="s">
        <v>34</v>
      </c>
      <c r="F11" t="s">
        <v>35</v>
      </c>
      <c r="G11">
        <v>1</v>
      </c>
      <c r="H11">
        <v>177</v>
      </c>
      <c r="I11">
        <v>177</v>
      </c>
      <c r="J11">
        <v>120.45</v>
      </c>
      <c r="K11">
        <v>56.55</v>
      </c>
      <c r="L11" t="s">
        <v>25</v>
      </c>
      <c r="M11" t="s">
        <v>19</v>
      </c>
      <c r="N11" t="str">
        <f>TEXT(SalesData[[#This Row],[Order Date]],"MMM-YYYY")</f>
        <v>Jun-2024</v>
      </c>
      <c r="O11" s="2">
        <f>SalesData[[#This Row],[Profit]]/SalesData[[#This Row],[Sales]]</f>
        <v>0.31949152542372877</v>
      </c>
    </row>
    <row r="12" spans="1:15" x14ac:dyDescent="0.25">
      <c r="A12" t="s">
        <v>46</v>
      </c>
      <c r="B12" s="1">
        <v>45318</v>
      </c>
      <c r="C12" t="s">
        <v>41</v>
      </c>
      <c r="D12" t="s">
        <v>42</v>
      </c>
      <c r="E12" t="s">
        <v>34</v>
      </c>
      <c r="F12" t="s">
        <v>47</v>
      </c>
      <c r="G12">
        <v>6</v>
      </c>
      <c r="H12">
        <v>637</v>
      </c>
      <c r="I12">
        <v>3822</v>
      </c>
      <c r="J12">
        <v>2627.73</v>
      </c>
      <c r="K12">
        <v>1194.27</v>
      </c>
      <c r="L12" t="s">
        <v>25</v>
      </c>
      <c r="M12" t="s">
        <v>26</v>
      </c>
      <c r="N12" t="str">
        <f>TEXT(SalesData[[#This Row],[Order Date]],"MMM-YYYY")</f>
        <v>Jan-2024</v>
      </c>
      <c r="O12" s="2">
        <f>SalesData[[#This Row],[Profit]]/SalesData[[#This Row],[Sales]]</f>
        <v>0.31247252747252746</v>
      </c>
    </row>
    <row r="13" spans="1:15" x14ac:dyDescent="0.25">
      <c r="A13" t="s">
        <v>48</v>
      </c>
      <c r="B13" s="1">
        <v>45542</v>
      </c>
      <c r="C13" t="s">
        <v>14</v>
      </c>
      <c r="D13" t="s">
        <v>42</v>
      </c>
      <c r="E13" t="s">
        <v>34</v>
      </c>
      <c r="F13" t="s">
        <v>35</v>
      </c>
      <c r="G13">
        <v>10</v>
      </c>
      <c r="H13">
        <v>991</v>
      </c>
      <c r="I13">
        <v>9910</v>
      </c>
      <c r="J13">
        <v>7598.8</v>
      </c>
      <c r="K13">
        <v>2311.1999999999998</v>
      </c>
      <c r="L13" t="s">
        <v>18</v>
      </c>
      <c r="M13" t="s">
        <v>44</v>
      </c>
      <c r="N13" t="str">
        <f>TEXT(SalesData[[#This Row],[Order Date]],"MMM-YYYY")</f>
        <v>Sep-2024</v>
      </c>
      <c r="O13" s="2">
        <f>SalesData[[#This Row],[Profit]]/SalesData[[#This Row],[Sales]]</f>
        <v>0.23321897073662964</v>
      </c>
    </row>
    <row r="14" spans="1:15" x14ac:dyDescent="0.25">
      <c r="A14" t="s">
        <v>49</v>
      </c>
      <c r="B14" s="1">
        <v>45423</v>
      </c>
      <c r="C14" t="s">
        <v>41</v>
      </c>
      <c r="D14" t="s">
        <v>22</v>
      </c>
      <c r="E14" t="s">
        <v>16</v>
      </c>
      <c r="F14" t="s">
        <v>17</v>
      </c>
      <c r="G14">
        <v>2</v>
      </c>
      <c r="H14">
        <v>326</v>
      </c>
      <c r="I14">
        <v>652</v>
      </c>
      <c r="J14">
        <v>462.81</v>
      </c>
      <c r="K14">
        <v>189.19</v>
      </c>
      <c r="L14" t="s">
        <v>25</v>
      </c>
      <c r="M14" t="s">
        <v>44</v>
      </c>
      <c r="N14" t="str">
        <f>TEXT(SalesData[[#This Row],[Order Date]],"MMM-YYYY")</f>
        <v>May-2024</v>
      </c>
      <c r="O14" s="2">
        <f>SalesData[[#This Row],[Profit]]/SalesData[[#This Row],[Sales]]</f>
        <v>0.2901687116564417</v>
      </c>
    </row>
    <row r="15" spans="1:15" x14ac:dyDescent="0.25">
      <c r="A15" t="s">
        <v>50</v>
      </c>
      <c r="B15" s="1">
        <v>45415</v>
      </c>
      <c r="C15" t="s">
        <v>38</v>
      </c>
      <c r="D15" t="s">
        <v>22</v>
      </c>
      <c r="E15" t="s">
        <v>23</v>
      </c>
      <c r="F15" t="s">
        <v>24</v>
      </c>
      <c r="G15">
        <v>7</v>
      </c>
      <c r="H15">
        <v>403</v>
      </c>
      <c r="I15">
        <v>2821</v>
      </c>
      <c r="J15">
        <v>2043.85</v>
      </c>
      <c r="K15">
        <v>777.15</v>
      </c>
      <c r="L15" t="s">
        <v>18</v>
      </c>
      <c r="M15" t="s">
        <v>30</v>
      </c>
      <c r="N15" t="str">
        <f>TEXT(SalesData[[#This Row],[Order Date]],"MMM-YYYY")</f>
        <v>May-2024</v>
      </c>
      <c r="O15" s="2">
        <f>SalesData[[#This Row],[Profit]]/SalesData[[#This Row],[Sales]]</f>
        <v>0.27548741580999647</v>
      </c>
    </row>
    <row r="16" spans="1:15" x14ac:dyDescent="0.25">
      <c r="A16" t="s">
        <v>51</v>
      </c>
      <c r="B16" s="1">
        <v>45379</v>
      </c>
      <c r="C16" t="s">
        <v>21</v>
      </c>
      <c r="D16" t="s">
        <v>28</v>
      </c>
      <c r="E16" t="s">
        <v>23</v>
      </c>
      <c r="F16" t="s">
        <v>24</v>
      </c>
      <c r="G16">
        <v>1</v>
      </c>
      <c r="H16">
        <v>896</v>
      </c>
      <c r="I16">
        <v>896</v>
      </c>
      <c r="J16">
        <v>520.92999999999995</v>
      </c>
      <c r="K16">
        <v>375.07</v>
      </c>
      <c r="L16" t="s">
        <v>25</v>
      </c>
      <c r="M16" t="s">
        <v>44</v>
      </c>
      <c r="N16" t="str">
        <f>TEXT(SalesData[[#This Row],[Order Date]],"MMM-YYYY")</f>
        <v>Mar-2024</v>
      </c>
      <c r="O16" s="2">
        <f>SalesData[[#This Row],[Profit]]/SalesData[[#This Row],[Sales]]</f>
        <v>0.41860491071428568</v>
      </c>
    </row>
    <row r="17" spans="1:15" x14ac:dyDescent="0.25">
      <c r="A17" t="s">
        <v>52</v>
      </c>
      <c r="B17" s="1">
        <v>45310</v>
      </c>
      <c r="C17" t="s">
        <v>38</v>
      </c>
      <c r="D17" t="s">
        <v>28</v>
      </c>
      <c r="E17" t="s">
        <v>34</v>
      </c>
      <c r="F17" t="s">
        <v>53</v>
      </c>
      <c r="G17">
        <v>4</v>
      </c>
      <c r="H17">
        <v>304</v>
      </c>
      <c r="I17">
        <v>1216</v>
      </c>
      <c r="J17">
        <v>784.07</v>
      </c>
      <c r="K17">
        <v>431.93</v>
      </c>
      <c r="L17" t="s">
        <v>18</v>
      </c>
      <c r="M17" t="s">
        <v>26</v>
      </c>
      <c r="N17" t="str">
        <f>TEXT(SalesData[[#This Row],[Order Date]],"MMM-YYYY")</f>
        <v>Jan-2024</v>
      </c>
      <c r="O17" s="2">
        <f>SalesData[[#This Row],[Profit]]/SalesData[[#This Row],[Sales]]</f>
        <v>0.35520559210526315</v>
      </c>
    </row>
    <row r="18" spans="1:15" x14ac:dyDescent="0.25">
      <c r="A18" t="s">
        <v>54</v>
      </c>
      <c r="B18" s="1">
        <v>45318</v>
      </c>
      <c r="C18" t="s">
        <v>38</v>
      </c>
      <c r="D18" t="s">
        <v>15</v>
      </c>
      <c r="E18" t="s">
        <v>34</v>
      </c>
      <c r="F18" t="s">
        <v>47</v>
      </c>
      <c r="G18">
        <v>8</v>
      </c>
      <c r="H18">
        <v>266</v>
      </c>
      <c r="I18">
        <v>2128</v>
      </c>
      <c r="J18">
        <v>1487.78</v>
      </c>
      <c r="K18">
        <v>640.22</v>
      </c>
      <c r="L18" t="s">
        <v>25</v>
      </c>
      <c r="M18" t="s">
        <v>44</v>
      </c>
      <c r="N18" t="str">
        <f>TEXT(SalesData[[#This Row],[Order Date]],"MMM-YYYY")</f>
        <v>Jan-2024</v>
      </c>
      <c r="O18" s="2">
        <f>SalesData[[#This Row],[Profit]]/SalesData[[#This Row],[Sales]]</f>
        <v>0.30085526315789474</v>
      </c>
    </row>
    <row r="19" spans="1:15" x14ac:dyDescent="0.25">
      <c r="A19" t="s">
        <v>55</v>
      </c>
      <c r="B19" s="1">
        <v>45506</v>
      </c>
      <c r="C19" t="s">
        <v>41</v>
      </c>
      <c r="D19" t="s">
        <v>22</v>
      </c>
      <c r="E19" t="s">
        <v>16</v>
      </c>
      <c r="F19" t="s">
        <v>29</v>
      </c>
      <c r="G19">
        <v>6</v>
      </c>
      <c r="H19">
        <v>518</v>
      </c>
      <c r="I19">
        <v>3108</v>
      </c>
      <c r="J19">
        <v>2434.62</v>
      </c>
      <c r="K19">
        <v>673.38</v>
      </c>
      <c r="L19" t="s">
        <v>18</v>
      </c>
      <c r="M19" t="s">
        <v>30</v>
      </c>
      <c r="N19" t="str">
        <f>TEXT(SalesData[[#This Row],[Order Date]],"MMM-YYYY")</f>
        <v>Aug-2024</v>
      </c>
      <c r="O19" s="2">
        <f>SalesData[[#This Row],[Profit]]/SalesData[[#This Row],[Sales]]</f>
        <v>0.21666023166023166</v>
      </c>
    </row>
    <row r="20" spans="1:15" x14ac:dyDescent="0.25">
      <c r="A20" t="s">
        <v>56</v>
      </c>
      <c r="B20" s="1">
        <v>45421</v>
      </c>
      <c r="C20" t="s">
        <v>38</v>
      </c>
      <c r="D20" t="s">
        <v>42</v>
      </c>
      <c r="E20" t="s">
        <v>23</v>
      </c>
      <c r="F20" t="s">
        <v>24</v>
      </c>
      <c r="G20">
        <v>8</v>
      </c>
      <c r="H20">
        <v>839</v>
      </c>
      <c r="I20">
        <v>6712</v>
      </c>
      <c r="J20">
        <v>3462</v>
      </c>
      <c r="K20">
        <v>3250</v>
      </c>
      <c r="L20" t="s">
        <v>25</v>
      </c>
      <c r="M20" t="s">
        <v>44</v>
      </c>
      <c r="N20" t="str">
        <f>TEXT(SalesData[[#This Row],[Order Date]],"MMM-YYYY")</f>
        <v>May-2024</v>
      </c>
      <c r="O20" s="2">
        <f>SalesData[[#This Row],[Profit]]/SalesData[[#This Row],[Sales]]</f>
        <v>0.48420738974970201</v>
      </c>
    </row>
    <row r="21" spans="1:15" x14ac:dyDescent="0.25">
      <c r="A21" t="s">
        <v>57</v>
      </c>
      <c r="B21" s="1">
        <v>45297</v>
      </c>
      <c r="C21" t="s">
        <v>38</v>
      </c>
      <c r="D21" t="s">
        <v>28</v>
      </c>
      <c r="E21" t="s">
        <v>23</v>
      </c>
      <c r="F21" t="s">
        <v>24</v>
      </c>
      <c r="G21">
        <v>4</v>
      </c>
      <c r="H21">
        <v>302</v>
      </c>
      <c r="I21">
        <v>1208</v>
      </c>
      <c r="J21">
        <v>604.02</v>
      </c>
      <c r="K21">
        <v>603.98</v>
      </c>
      <c r="L21" t="s">
        <v>25</v>
      </c>
      <c r="M21" t="s">
        <v>30</v>
      </c>
      <c r="N21" t="str">
        <f>TEXT(SalesData[[#This Row],[Order Date]],"MMM-YYYY")</f>
        <v>Jan-2024</v>
      </c>
      <c r="O21" s="2">
        <f>SalesData[[#This Row],[Profit]]/SalesData[[#This Row],[Sales]]</f>
        <v>0.49998344370860931</v>
      </c>
    </row>
    <row r="22" spans="1:15" x14ac:dyDescent="0.25">
      <c r="A22" t="s">
        <v>58</v>
      </c>
      <c r="B22" s="1">
        <v>45499</v>
      </c>
      <c r="C22" t="s">
        <v>14</v>
      </c>
      <c r="D22" t="s">
        <v>28</v>
      </c>
      <c r="E22" t="s">
        <v>34</v>
      </c>
      <c r="F22" t="s">
        <v>53</v>
      </c>
      <c r="G22">
        <v>1</v>
      </c>
      <c r="H22">
        <v>49</v>
      </c>
      <c r="I22">
        <v>49</v>
      </c>
      <c r="J22">
        <v>33.270000000000003</v>
      </c>
      <c r="K22">
        <v>15.73</v>
      </c>
      <c r="L22" t="s">
        <v>18</v>
      </c>
      <c r="M22" t="s">
        <v>19</v>
      </c>
      <c r="N22" t="str">
        <f>TEXT(SalesData[[#This Row],[Order Date]],"MMM-YYYY")</f>
        <v>Jul-2024</v>
      </c>
      <c r="O22" s="2">
        <f>SalesData[[#This Row],[Profit]]/SalesData[[#This Row],[Sales]]</f>
        <v>0.32102040816326533</v>
      </c>
    </row>
    <row r="23" spans="1:15" x14ac:dyDescent="0.25">
      <c r="A23" t="s">
        <v>59</v>
      </c>
      <c r="B23" s="1">
        <v>45572</v>
      </c>
      <c r="C23" t="s">
        <v>38</v>
      </c>
      <c r="D23" t="s">
        <v>15</v>
      </c>
      <c r="E23" t="s">
        <v>16</v>
      </c>
      <c r="F23" t="s">
        <v>29</v>
      </c>
      <c r="G23">
        <v>9</v>
      </c>
      <c r="H23">
        <v>573</v>
      </c>
      <c r="I23">
        <v>5157</v>
      </c>
      <c r="J23">
        <v>3101.97</v>
      </c>
      <c r="K23">
        <v>2055.0300000000002</v>
      </c>
      <c r="L23" t="s">
        <v>18</v>
      </c>
      <c r="M23" t="s">
        <v>30</v>
      </c>
      <c r="N23" t="str">
        <f>TEXT(SalesData[[#This Row],[Order Date]],"MMM-YYYY")</f>
        <v>Oct-2024</v>
      </c>
      <c r="O23" s="2">
        <f>SalesData[[#This Row],[Profit]]/SalesData[[#This Row],[Sales]]</f>
        <v>0.39849331006399075</v>
      </c>
    </row>
    <row r="24" spans="1:15" x14ac:dyDescent="0.25">
      <c r="A24" t="s">
        <v>60</v>
      </c>
      <c r="B24" s="1">
        <v>45463</v>
      </c>
      <c r="C24" t="s">
        <v>38</v>
      </c>
      <c r="D24" t="s">
        <v>28</v>
      </c>
      <c r="E24" t="s">
        <v>23</v>
      </c>
      <c r="F24" t="s">
        <v>43</v>
      </c>
      <c r="G24">
        <v>4</v>
      </c>
      <c r="H24">
        <v>125</v>
      </c>
      <c r="I24">
        <v>500</v>
      </c>
      <c r="J24">
        <v>326.42</v>
      </c>
      <c r="K24">
        <v>173.58</v>
      </c>
      <c r="L24" t="s">
        <v>18</v>
      </c>
      <c r="M24" t="s">
        <v>30</v>
      </c>
      <c r="N24" t="str">
        <f>TEXT(SalesData[[#This Row],[Order Date]],"MMM-YYYY")</f>
        <v>Jun-2024</v>
      </c>
      <c r="O24" s="2">
        <f>SalesData[[#This Row],[Profit]]/SalesData[[#This Row],[Sales]]</f>
        <v>0.34716000000000002</v>
      </c>
    </row>
    <row r="25" spans="1:15" x14ac:dyDescent="0.25">
      <c r="A25" t="s">
        <v>61</v>
      </c>
      <c r="B25" s="1">
        <v>45575</v>
      </c>
      <c r="C25" t="s">
        <v>14</v>
      </c>
      <c r="D25" t="s">
        <v>15</v>
      </c>
      <c r="E25" t="s">
        <v>23</v>
      </c>
      <c r="F25" t="s">
        <v>39</v>
      </c>
      <c r="G25">
        <v>8</v>
      </c>
      <c r="H25">
        <v>657</v>
      </c>
      <c r="I25">
        <v>5256</v>
      </c>
      <c r="J25">
        <v>2650.75</v>
      </c>
      <c r="K25">
        <v>2605.25</v>
      </c>
      <c r="L25" t="s">
        <v>18</v>
      </c>
      <c r="M25" t="s">
        <v>30</v>
      </c>
      <c r="N25" t="str">
        <f>TEXT(SalesData[[#This Row],[Order Date]],"MMM-YYYY")</f>
        <v>Oct-2024</v>
      </c>
      <c r="O25" s="2">
        <f>SalesData[[#This Row],[Profit]]/SalesData[[#This Row],[Sales]]</f>
        <v>0.49567161339421612</v>
      </c>
    </row>
    <row r="26" spans="1:15" x14ac:dyDescent="0.25">
      <c r="A26" t="s">
        <v>62</v>
      </c>
      <c r="B26" s="1">
        <v>45467</v>
      </c>
      <c r="C26" t="s">
        <v>41</v>
      </c>
      <c r="D26" t="s">
        <v>22</v>
      </c>
      <c r="E26" t="s">
        <v>34</v>
      </c>
      <c r="F26" t="s">
        <v>53</v>
      </c>
      <c r="G26">
        <v>5</v>
      </c>
      <c r="H26">
        <v>183</v>
      </c>
      <c r="I26">
        <v>915</v>
      </c>
      <c r="J26">
        <v>709.43</v>
      </c>
      <c r="K26">
        <v>205.57</v>
      </c>
      <c r="L26" t="s">
        <v>18</v>
      </c>
      <c r="M26" t="s">
        <v>26</v>
      </c>
      <c r="N26" t="str">
        <f>TEXT(SalesData[[#This Row],[Order Date]],"MMM-YYYY")</f>
        <v>Jun-2024</v>
      </c>
      <c r="O26" s="2">
        <f>SalesData[[#This Row],[Profit]]/SalesData[[#This Row],[Sales]]</f>
        <v>0.22466666666666665</v>
      </c>
    </row>
    <row r="27" spans="1:15" x14ac:dyDescent="0.25">
      <c r="A27" t="s">
        <v>63</v>
      </c>
      <c r="B27" s="1">
        <v>45318</v>
      </c>
      <c r="C27" t="s">
        <v>38</v>
      </c>
      <c r="D27" t="s">
        <v>22</v>
      </c>
      <c r="E27" t="s">
        <v>16</v>
      </c>
      <c r="F27" t="s">
        <v>64</v>
      </c>
      <c r="G27">
        <v>8</v>
      </c>
      <c r="H27">
        <v>873</v>
      </c>
      <c r="I27">
        <v>6984</v>
      </c>
      <c r="J27">
        <v>4072.78</v>
      </c>
      <c r="K27">
        <v>2911.22</v>
      </c>
      <c r="L27" t="s">
        <v>18</v>
      </c>
      <c r="M27" t="s">
        <v>19</v>
      </c>
      <c r="N27" t="str">
        <f>TEXT(SalesData[[#This Row],[Order Date]],"MMM-YYYY")</f>
        <v>Jan-2024</v>
      </c>
      <c r="O27" s="2">
        <f>SalesData[[#This Row],[Profit]]/SalesData[[#This Row],[Sales]]</f>
        <v>0.41684135166093927</v>
      </c>
    </row>
    <row r="28" spans="1:15" x14ac:dyDescent="0.25">
      <c r="A28" t="s">
        <v>65</v>
      </c>
      <c r="B28" s="1">
        <v>45510</v>
      </c>
      <c r="C28" t="s">
        <v>38</v>
      </c>
      <c r="D28" t="s">
        <v>22</v>
      </c>
      <c r="E28" t="s">
        <v>23</v>
      </c>
      <c r="F28" t="s">
        <v>24</v>
      </c>
      <c r="G28">
        <v>5</v>
      </c>
      <c r="H28">
        <v>581</v>
      </c>
      <c r="I28">
        <v>2905</v>
      </c>
      <c r="J28">
        <v>2100.98</v>
      </c>
      <c r="K28">
        <v>804.02</v>
      </c>
      <c r="L28" t="s">
        <v>25</v>
      </c>
      <c r="M28" t="s">
        <v>19</v>
      </c>
      <c r="N28" t="str">
        <f>TEXT(SalesData[[#This Row],[Order Date]],"MMM-YYYY")</f>
        <v>Aug-2024</v>
      </c>
      <c r="O28" s="2">
        <f>SalesData[[#This Row],[Profit]]/SalesData[[#This Row],[Sales]]</f>
        <v>0.27677108433734937</v>
      </c>
    </row>
    <row r="29" spans="1:15" x14ac:dyDescent="0.25">
      <c r="A29" t="s">
        <v>66</v>
      </c>
      <c r="B29" s="1">
        <v>45471</v>
      </c>
      <c r="C29" t="s">
        <v>38</v>
      </c>
      <c r="D29" t="s">
        <v>28</v>
      </c>
      <c r="E29" t="s">
        <v>34</v>
      </c>
      <c r="F29" t="s">
        <v>53</v>
      </c>
      <c r="G29">
        <v>1</v>
      </c>
      <c r="H29">
        <v>910</v>
      </c>
      <c r="I29">
        <v>910</v>
      </c>
      <c r="J29">
        <v>468.23</v>
      </c>
      <c r="K29">
        <v>441.77</v>
      </c>
      <c r="L29" t="s">
        <v>25</v>
      </c>
      <c r="M29" t="s">
        <v>30</v>
      </c>
      <c r="N29" t="str">
        <f>TEXT(SalesData[[#This Row],[Order Date]],"MMM-YYYY")</f>
        <v>Jun-2024</v>
      </c>
      <c r="O29" s="2">
        <f>SalesData[[#This Row],[Profit]]/SalesData[[#This Row],[Sales]]</f>
        <v>0.48546153846153844</v>
      </c>
    </row>
    <row r="30" spans="1:15" x14ac:dyDescent="0.25">
      <c r="A30" t="s">
        <v>67</v>
      </c>
      <c r="B30" s="1">
        <v>45376</v>
      </c>
      <c r="C30" t="s">
        <v>21</v>
      </c>
      <c r="D30" t="s">
        <v>15</v>
      </c>
      <c r="E30" t="s">
        <v>23</v>
      </c>
      <c r="F30" t="s">
        <v>39</v>
      </c>
      <c r="G30">
        <v>4</v>
      </c>
      <c r="H30">
        <v>509</v>
      </c>
      <c r="I30">
        <v>2036</v>
      </c>
      <c r="J30">
        <v>1366.57</v>
      </c>
      <c r="K30">
        <v>669.43</v>
      </c>
      <c r="L30" t="s">
        <v>25</v>
      </c>
      <c r="M30" t="s">
        <v>44</v>
      </c>
      <c r="N30" t="str">
        <f>TEXT(SalesData[[#This Row],[Order Date]],"MMM-YYYY")</f>
        <v>Mar-2024</v>
      </c>
      <c r="O30" s="2">
        <f>SalesData[[#This Row],[Profit]]/SalesData[[#This Row],[Sales]]</f>
        <v>0.32879666011787817</v>
      </c>
    </row>
    <row r="31" spans="1:15" x14ac:dyDescent="0.25">
      <c r="A31" t="s">
        <v>68</v>
      </c>
      <c r="B31" s="1">
        <v>45576</v>
      </c>
      <c r="C31" t="s">
        <v>14</v>
      </c>
      <c r="D31" t="s">
        <v>42</v>
      </c>
      <c r="E31" t="s">
        <v>23</v>
      </c>
      <c r="F31" t="s">
        <v>39</v>
      </c>
      <c r="G31">
        <v>4</v>
      </c>
      <c r="H31">
        <v>559</v>
      </c>
      <c r="I31">
        <v>2236</v>
      </c>
      <c r="J31">
        <v>1313.47</v>
      </c>
      <c r="K31">
        <v>922.53</v>
      </c>
      <c r="L31" t="s">
        <v>18</v>
      </c>
      <c r="M31" t="s">
        <v>30</v>
      </c>
      <c r="N31" t="str">
        <f>TEXT(SalesData[[#This Row],[Order Date]],"MMM-YYYY")</f>
        <v>Oct-2024</v>
      </c>
      <c r="O31" s="2">
        <f>SalesData[[#This Row],[Profit]]/SalesData[[#This Row],[Sales]]</f>
        <v>0.41258050089445436</v>
      </c>
    </row>
    <row r="32" spans="1:15" x14ac:dyDescent="0.25">
      <c r="A32" t="s">
        <v>69</v>
      </c>
      <c r="B32" s="1">
        <v>45369</v>
      </c>
      <c r="C32" t="s">
        <v>41</v>
      </c>
      <c r="D32" t="s">
        <v>42</v>
      </c>
      <c r="E32" t="s">
        <v>23</v>
      </c>
      <c r="F32" t="s">
        <v>24</v>
      </c>
      <c r="G32">
        <v>5</v>
      </c>
      <c r="H32">
        <v>83</v>
      </c>
      <c r="I32">
        <v>415</v>
      </c>
      <c r="J32">
        <v>248.96</v>
      </c>
      <c r="K32">
        <v>166.04</v>
      </c>
      <c r="L32" t="s">
        <v>18</v>
      </c>
      <c r="M32" t="s">
        <v>30</v>
      </c>
      <c r="N32" t="str">
        <f>TEXT(SalesData[[#This Row],[Order Date]],"MMM-YYYY")</f>
        <v>Mar-2024</v>
      </c>
      <c r="O32" s="2">
        <f>SalesData[[#This Row],[Profit]]/SalesData[[#This Row],[Sales]]</f>
        <v>0.40009638554216864</v>
      </c>
    </row>
    <row r="33" spans="1:15" x14ac:dyDescent="0.25">
      <c r="A33" t="s">
        <v>70</v>
      </c>
      <c r="B33" s="1">
        <v>45380</v>
      </c>
      <c r="C33" t="s">
        <v>21</v>
      </c>
      <c r="D33" t="s">
        <v>22</v>
      </c>
      <c r="E33" t="s">
        <v>34</v>
      </c>
      <c r="F33" t="s">
        <v>53</v>
      </c>
      <c r="G33">
        <v>1</v>
      </c>
      <c r="H33">
        <v>897</v>
      </c>
      <c r="I33">
        <v>897</v>
      </c>
      <c r="J33">
        <v>689.2</v>
      </c>
      <c r="K33">
        <v>207.8</v>
      </c>
      <c r="L33" t="s">
        <v>18</v>
      </c>
      <c r="M33" t="s">
        <v>19</v>
      </c>
      <c r="N33" t="str">
        <f>TEXT(SalesData[[#This Row],[Order Date]],"MMM-YYYY")</f>
        <v>Mar-2024</v>
      </c>
      <c r="O33" s="2">
        <f>SalesData[[#This Row],[Profit]]/SalesData[[#This Row],[Sales]]</f>
        <v>0.23166109253065775</v>
      </c>
    </row>
    <row r="34" spans="1:15" x14ac:dyDescent="0.25">
      <c r="A34" t="s">
        <v>71</v>
      </c>
      <c r="B34" s="1">
        <v>45474</v>
      </c>
      <c r="C34" t="s">
        <v>14</v>
      </c>
      <c r="D34" t="s">
        <v>22</v>
      </c>
      <c r="E34" t="s">
        <v>23</v>
      </c>
      <c r="F34" t="s">
        <v>24</v>
      </c>
      <c r="G34">
        <v>4</v>
      </c>
      <c r="H34">
        <v>739</v>
      </c>
      <c r="I34">
        <v>2956</v>
      </c>
      <c r="J34">
        <v>1872.9</v>
      </c>
      <c r="K34">
        <v>1083.0999999999999</v>
      </c>
      <c r="L34" t="s">
        <v>25</v>
      </c>
      <c r="M34" t="s">
        <v>19</v>
      </c>
      <c r="N34" t="str">
        <f>TEXT(SalesData[[#This Row],[Order Date]],"MMM-YYYY")</f>
        <v>Jul-2024</v>
      </c>
      <c r="O34" s="2">
        <f>SalesData[[#This Row],[Profit]]/SalesData[[#This Row],[Sales]]</f>
        <v>0.36640730717185382</v>
      </c>
    </row>
    <row r="35" spans="1:15" x14ac:dyDescent="0.25">
      <c r="A35" t="s">
        <v>72</v>
      </c>
      <c r="B35" s="1">
        <v>45466</v>
      </c>
      <c r="C35" t="s">
        <v>14</v>
      </c>
      <c r="D35" t="s">
        <v>28</v>
      </c>
      <c r="E35" t="s">
        <v>23</v>
      </c>
      <c r="F35" t="s">
        <v>43</v>
      </c>
      <c r="G35">
        <v>6</v>
      </c>
      <c r="H35">
        <v>737</v>
      </c>
      <c r="I35">
        <v>4422</v>
      </c>
      <c r="J35">
        <v>2547.29</v>
      </c>
      <c r="K35">
        <v>1874.71</v>
      </c>
      <c r="L35" t="s">
        <v>18</v>
      </c>
      <c r="M35" t="s">
        <v>30</v>
      </c>
      <c r="N35" t="str">
        <f>TEXT(SalesData[[#This Row],[Order Date]],"MMM-YYYY")</f>
        <v>Jun-2024</v>
      </c>
      <c r="O35" s="2">
        <f>SalesData[[#This Row],[Profit]]/SalesData[[#This Row],[Sales]]</f>
        <v>0.42395070104025329</v>
      </c>
    </row>
    <row r="36" spans="1:15" x14ac:dyDescent="0.25">
      <c r="A36" t="s">
        <v>73</v>
      </c>
      <c r="B36" s="1">
        <v>45364</v>
      </c>
      <c r="C36" t="s">
        <v>14</v>
      </c>
      <c r="D36" t="s">
        <v>15</v>
      </c>
      <c r="E36" t="s">
        <v>16</v>
      </c>
      <c r="F36" t="s">
        <v>29</v>
      </c>
      <c r="G36">
        <v>3</v>
      </c>
      <c r="H36">
        <v>625</v>
      </c>
      <c r="I36">
        <v>1875</v>
      </c>
      <c r="J36">
        <v>1324.98</v>
      </c>
      <c r="K36">
        <v>550.02</v>
      </c>
      <c r="L36" t="s">
        <v>18</v>
      </c>
      <c r="M36" t="s">
        <v>44</v>
      </c>
      <c r="N36" t="str">
        <f>TEXT(SalesData[[#This Row],[Order Date]],"MMM-YYYY")</f>
        <v>Mar-2024</v>
      </c>
      <c r="O36" s="2">
        <f>SalesData[[#This Row],[Profit]]/SalesData[[#This Row],[Sales]]</f>
        <v>0.29334399999999999</v>
      </c>
    </row>
    <row r="37" spans="1:15" x14ac:dyDescent="0.25">
      <c r="A37" t="s">
        <v>74</v>
      </c>
      <c r="B37" s="1">
        <v>45472</v>
      </c>
      <c r="C37" t="s">
        <v>41</v>
      </c>
      <c r="D37" t="s">
        <v>22</v>
      </c>
      <c r="E37" t="s">
        <v>16</v>
      </c>
      <c r="F37" t="s">
        <v>29</v>
      </c>
      <c r="G37">
        <v>5</v>
      </c>
      <c r="H37">
        <v>452</v>
      </c>
      <c r="I37">
        <v>2260</v>
      </c>
      <c r="J37">
        <v>1537.07</v>
      </c>
      <c r="K37">
        <v>722.93</v>
      </c>
      <c r="L37" t="s">
        <v>18</v>
      </c>
      <c r="M37" t="s">
        <v>44</v>
      </c>
      <c r="N37" t="str">
        <f>TEXT(SalesData[[#This Row],[Order Date]],"MMM-YYYY")</f>
        <v>Jun-2024</v>
      </c>
      <c r="O37" s="2">
        <f>SalesData[[#This Row],[Profit]]/SalesData[[#This Row],[Sales]]</f>
        <v>0.31988053097345132</v>
      </c>
    </row>
    <row r="38" spans="1:15" x14ac:dyDescent="0.25">
      <c r="A38" t="s">
        <v>75</v>
      </c>
      <c r="B38" s="1">
        <v>45575</v>
      </c>
      <c r="C38" t="s">
        <v>14</v>
      </c>
      <c r="D38" t="s">
        <v>28</v>
      </c>
      <c r="E38" t="s">
        <v>34</v>
      </c>
      <c r="F38" t="s">
        <v>47</v>
      </c>
      <c r="G38">
        <v>10</v>
      </c>
      <c r="H38">
        <v>594</v>
      </c>
      <c r="I38">
        <v>5940</v>
      </c>
      <c r="J38">
        <v>3677.21</v>
      </c>
      <c r="K38">
        <v>2262.79</v>
      </c>
      <c r="L38" t="s">
        <v>25</v>
      </c>
      <c r="M38" t="s">
        <v>19</v>
      </c>
      <c r="N38" t="str">
        <f>TEXT(SalesData[[#This Row],[Order Date]],"MMM-YYYY")</f>
        <v>Oct-2024</v>
      </c>
      <c r="O38" s="2">
        <f>SalesData[[#This Row],[Profit]]/SalesData[[#This Row],[Sales]]</f>
        <v>0.38094107744107741</v>
      </c>
    </row>
    <row r="39" spans="1:15" x14ac:dyDescent="0.25">
      <c r="A39" t="s">
        <v>76</v>
      </c>
      <c r="B39" s="1">
        <v>45583</v>
      </c>
      <c r="C39" t="s">
        <v>14</v>
      </c>
      <c r="D39" t="s">
        <v>42</v>
      </c>
      <c r="E39" t="s">
        <v>34</v>
      </c>
      <c r="F39" t="s">
        <v>47</v>
      </c>
      <c r="G39">
        <v>10</v>
      </c>
      <c r="H39">
        <v>532</v>
      </c>
      <c r="I39">
        <v>5320</v>
      </c>
      <c r="J39">
        <v>3634.72</v>
      </c>
      <c r="K39">
        <v>1685.28</v>
      </c>
      <c r="L39" t="s">
        <v>25</v>
      </c>
      <c r="M39" t="s">
        <v>30</v>
      </c>
      <c r="N39" t="str">
        <f>TEXT(SalesData[[#This Row],[Order Date]],"MMM-YYYY")</f>
        <v>Oct-2024</v>
      </c>
      <c r="O39" s="2">
        <f>SalesData[[#This Row],[Profit]]/SalesData[[#This Row],[Sales]]</f>
        <v>0.31678195488721805</v>
      </c>
    </row>
    <row r="40" spans="1:15" x14ac:dyDescent="0.25">
      <c r="A40" t="s">
        <v>77</v>
      </c>
      <c r="B40" s="1">
        <v>45410</v>
      </c>
      <c r="C40" t="s">
        <v>21</v>
      </c>
      <c r="D40" t="s">
        <v>42</v>
      </c>
      <c r="E40" t="s">
        <v>16</v>
      </c>
      <c r="F40" t="s">
        <v>64</v>
      </c>
      <c r="G40">
        <v>1</v>
      </c>
      <c r="H40">
        <v>153</v>
      </c>
      <c r="I40">
        <v>153</v>
      </c>
      <c r="J40">
        <v>80.88</v>
      </c>
      <c r="K40">
        <v>72.12</v>
      </c>
      <c r="L40" t="s">
        <v>25</v>
      </c>
      <c r="M40" t="s">
        <v>26</v>
      </c>
      <c r="N40" t="str">
        <f>TEXT(SalesData[[#This Row],[Order Date]],"MMM-YYYY")</f>
        <v>Apr-2024</v>
      </c>
      <c r="O40" s="2">
        <f>SalesData[[#This Row],[Profit]]/SalesData[[#This Row],[Sales]]</f>
        <v>0.4713725490196079</v>
      </c>
    </row>
    <row r="41" spans="1:15" x14ac:dyDescent="0.25">
      <c r="A41" t="s">
        <v>78</v>
      </c>
      <c r="B41" s="1">
        <v>45439</v>
      </c>
      <c r="C41" t="s">
        <v>14</v>
      </c>
      <c r="D41" t="s">
        <v>42</v>
      </c>
      <c r="E41" t="s">
        <v>23</v>
      </c>
      <c r="F41" t="s">
        <v>24</v>
      </c>
      <c r="G41">
        <v>6</v>
      </c>
      <c r="H41">
        <v>582</v>
      </c>
      <c r="I41">
        <v>3492</v>
      </c>
      <c r="J41">
        <v>1763.57</v>
      </c>
      <c r="K41">
        <v>1728.43</v>
      </c>
      <c r="L41" t="s">
        <v>18</v>
      </c>
      <c r="M41" t="s">
        <v>19</v>
      </c>
      <c r="N41" t="str">
        <f>TEXT(SalesData[[#This Row],[Order Date]],"MMM-YYYY")</f>
        <v>May-2024</v>
      </c>
      <c r="O41" s="2">
        <f>SalesData[[#This Row],[Profit]]/SalesData[[#This Row],[Sales]]</f>
        <v>0.49496849942726234</v>
      </c>
    </row>
    <row r="42" spans="1:15" x14ac:dyDescent="0.25">
      <c r="A42" t="s">
        <v>79</v>
      </c>
      <c r="B42" s="1">
        <v>45449</v>
      </c>
      <c r="C42" t="s">
        <v>41</v>
      </c>
      <c r="D42" t="s">
        <v>42</v>
      </c>
      <c r="E42" t="s">
        <v>16</v>
      </c>
      <c r="F42" t="s">
        <v>17</v>
      </c>
      <c r="G42">
        <v>4</v>
      </c>
      <c r="H42">
        <v>233</v>
      </c>
      <c r="I42">
        <v>932</v>
      </c>
      <c r="J42">
        <v>513.75</v>
      </c>
      <c r="K42">
        <v>418.25</v>
      </c>
      <c r="L42" t="s">
        <v>18</v>
      </c>
      <c r="M42" t="s">
        <v>30</v>
      </c>
      <c r="N42" t="str">
        <f>TEXT(SalesData[[#This Row],[Order Date]],"MMM-YYYY")</f>
        <v>Jun-2024</v>
      </c>
      <c r="O42" s="2">
        <f>SalesData[[#This Row],[Profit]]/SalesData[[#This Row],[Sales]]</f>
        <v>0.44876609442060084</v>
      </c>
    </row>
    <row r="43" spans="1:15" x14ac:dyDescent="0.25">
      <c r="A43" t="s">
        <v>80</v>
      </c>
      <c r="B43" s="1">
        <v>45382</v>
      </c>
      <c r="C43" t="s">
        <v>41</v>
      </c>
      <c r="D43" t="s">
        <v>15</v>
      </c>
      <c r="E43" t="s">
        <v>16</v>
      </c>
      <c r="F43" t="s">
        <v>64</v>
      </c>
      <c r="G43">
        <v>1</v>
      </c>
      <c r="H43">
        <v>541</v>
      </c>
      <c r="I43">
        <v>541</v>
      </c>
      <c r="J43">
        <v>322.38</v>
      </c>
      <c r="K43">
        <v>218.62</v>
      </c>
      <c r="L43" t="s">
        <v>25</v>
      </c>
      <c r="M43" t="s">
        <v>44</v>
      </c>
      <c r="N43" t="str">
        <f>TEXT(SalesData[[#This Row],[Order Date]],"MMM-YYYY")</f>
        <v>Mar-2024</v>
      </c>
      <c r="O43" s="2">
        <f>SalesData[[#This Row],[Profit]]/SalesData[[#This Row],[Sales]]</f>
        <v>0.40410351201478745</v>
      </c>
    </row>
    <row r="44" spans="1:15" x14ac:dyDescent="0.25">
      <c r="A44" t="s">
        <v>81</v>
      </c>
      <c r="B44" s="1">
        <v>45560</v>
      </c>
      <c r="C44" t="s">
        <v>38</v>
      </c>
      <c r="D44" t="s">
        <v>22</v>
      </c>
      <c r="E44" t="s">
        <v>16</v>
      </c>
      <c r="F44" t="s">
        <v>17</v>
      </c>
      <c r="G44">
        <v>8</v>
      </c>
      <c r="H44">
        <v>831</v>
      </c>
      <c r="I44">
        <v>6648</v>
      </c>
      <c r="J44">
        <v>4129.49</v>
      </c>
      <c r="K44">
        <v>2518.5100000000002</v>
      </c>
      <c r="L44" t="s">
        <v>18</v>
      </c>
      <c r="M44" t="s">
        <v>44</v>
      </c>
      <c r="N44" t="str">
        <f>TEXT(SalesData[[#This Row],[Order Date]],"MMM-YYYY")</f>
        <v>Sep-2024</v>
      </c>
      <c r="O44" s="2">
        <f>SalesData[[#This Row],[Profit]]/SalesData[[#This Row],[Sales]]</f>
        <v>0.37883724428399523</v>
      </c>
    </row>
    <row r="45" spans="1:15" x14ac:dyDescent="0.25">
      <c r="A45" t="s">
        <v>82</v>
      </c>
      <c r="B45" s="1">
        <v>45307</v>
      </c>
      <c r="C45" t="s">
        <v>21</v>
      </c>
      <c r="D45" t="s">
        <v>42</v>
      </c>
      <c r="E45" t="s">
        <v>23</v>
      </c>
      <c r="F45" t="s">
        <v>24</v>
      </c>
      <c r="G45">
        <v>7</v>
      </c>
      <c r="H45">
        <v>70</v>
      </c>
      <c r="I45">
        <v>490</v>
      </c>
      <c r="J45">
        <v>246.42</v>
      </c>
      <c r="K45">
        <v>243.58</v>
      </c>
      <c r="L45" t="s">
        <v>25</v>
      </c>
      <c r="M45" t="s">
        <v>30</v>
      </c>
      <c r="N45" t="str">
        <f>TEXT(SalesData[[#This Row],[Order Date]],"MMM-YYYY")</f>
        <v>Jan-2024</v>
      </c>
      <c r="O45" s="2">
        <f>SalesData[[#This Row],[Profit]]/SalesData[[#This Row],[Sales]]</f>
        <v>0.49710204081632653</v>
      </c>
    </row>
    <row r="46" spans="1:15" x14ac:dyDescent="0.25">
      <c r="A46" t="s">
        <v>83</v>
      </c>
      <c r="B46" s="1">
        <v>45293</v>
      </c>
      <c r="C46" t="s">
        <v>14</v>
      </c>
      <c r="D46" t="s">
        <v>22</v>
      </c>
      <c r="E46" t="s">
        <v>16</v>
      </c>
      <c r="F46" t="s">
        <v>29</v>
      </c>
      <c r="G46">
        <v>3</v>
      </c>
      <c r="H46">
        <v>526</v>
      </c>
      <c r="I46">
        <v>1578</v>
      </c>
      <c r="J46">
        <v>860.34</v>
      </c>
      <c r="K46">
        <v>717.66</v>
      </c>
      <c r="L46" t="s">
        <v>18</v>
      </c>
      <c r="M46" t="s">
        <v>19</v>
      </c>
      <c r="N46" t="str">
        <f>TEXT(SalesData[[#This Row],[Order Date]],"MMM-YYYY")</f>
        <v>Jan-2024</v>
      </c>
      <c r="O46" s="2">
        <f>SalesData[[#This Row],[Profit]]/SalesData[[#This Row],[Sales]]</f>
        <v>0.45479087452471478</v>
      </c>
    </row>
    <row r="47" spans="1:15" x14ac:dyDescent="0.25">
      <c r="A47" t="s">
        <v>84</v>
      </c>
      <c r="B47" s="1">
        <v>45416</v>
      </c>
      <c r="C47" t="s">
        <v>41</v>
      </c>
      <c r="D47" t="s">
        <v>42</v>
      </c>
      <c r="E47" t="s">
        <v>34</v>
      </c>
      <c r="F47" t="s">
        <v>47</v>
      </c>
      <c r="G47">
        <v>6</v>
      </c>
      <c r="H47">
        <v>842</v>
      </c>
      <c r="I47">
        <v>5052</v>
      </c>
      <c r="J47">
        <v>3084.04</v>
      </c>
      <c r="K47">
        <v>1967.96</v>
      </c>
      <c r="L47" t="s">
        <v>18</v>
      </c>
      <c r="M47" t="s">
        <v>44</v>
      </c>
      <c r="N47" t="str">
        <f>TEXT(SalesData[[#This Row],[Order Date]],"MMM-YYYY")</f>
        <v>May-2024</v>
      </c>
      <c r="O47" s="2">
        <f>SalesData[[#This Row],[Profit]]/SalesData[[#This Row],[Sales]]</f>
        <v>0.38954077593032466</v>
      </c>
    </row>
    <row r="48" spans="1:15" x14ac:dyDescent="0.25">
      <c r="A48" t="s">
        <v>85</v>
      </c>
      <c r="B48" s="1">
        <v>45536</v>
      </c>
      <c r="C48" t="s">
        <v>38</v>
      </c>
      <c r="D48" t="s">
        <v>28</v>
      </c>
      <c r="E48" t="s">
        <v>34</v>
      </c>
      <c r="F48" t="s">
        <v>53</v>
      </c>
      <c r="G48">
        <v>5</v>
      </c>
      <c r="H48">
        <v>426</v>
      </c>
      <c r="I48">
        <v>2130</v>
      </c>
      <c r="J48">
        <v>1379.99</v>
      </c>
      <c r="K48">
        <v>750.01</v>
      </c>
      <c r="L48" t="s">
        <v>18</v>
      </c>
      <c r="M48" t="s">
        <v>30</v>
      </c>
      <c r="N48" t="str">
        <f>TEXT(SalesData[[#This Row],[Order Date]],"MMM-YYYY")</f>
        <v>Sep-2024</v>
      </c>
      <c r="O48" s="2">
        <f>SalesData[[#This Row],[Profit]]/SalesData[[#This Row],[Sales]]</f>
        <v>0.35211737089201878</v>
      </c>
    </row>
    <row r="49" spans="1:15" x14ac:dyDescent="0.25">
      <c r="A49" t="s">
        <v>86</v>
      </c>
      <c r="B49" s="1">
        <v>45316</v>
      </c>
      <c r="C49" t="s">
        <v>38</v>
      </c>
      <c r="D49" t="s">
        <v>22</v>
      </c>
      <c r="E49" t="s">
        <v>23</v>
      </c>
      <c r="F49" t="s">
        <v>24</v>
      </c>
      <c r="G49">
        <v>2</v>
      </c>
      <c r="H49">
        <v>945</v>
      </c>
      <c r="I49">
        <v>1890</v>
      </c>
      <c r="J49">
        <v>1130.55</v>
      </c>
      <c r="K49">
        <v>759.45</v>
      </c>
      <c r="L49" t="s">
        <v>18</v>
      </c>
      <c r="M49" t="s">
        <v>19</v>
      </c>
      <c r="N49" t="str">
        <f>TEXT(SalesData[[#This Row],[Order Date]],"MMM-YYYY")</f>
        <v>Jan-2024</v>
      </c>
      <c r="O49" s="2">
        <f>SalesData[[#This Row],[Profit]]/SalesData[[#This Row],[Sales]]</f>
        <v>0.40182539682539686</v>
      </c>
    </row>
    <row r="50" spans="1:15" x14ac:dyDescent="0.25">
      <c r="A50" t="s">
        <v>87</v>
      </c>
      <c r="B50" s="1">
        <v>45586</v>
      </c>
      <c r="C50" t="s">
        <v>14</v>
      </c>
      <c r="D50" t="s">
        <v>42</v>
      </c>
      <c r="E50" t="s">
        <v>16</v>
      </c>
      <c r="F50" t="s">
        <v>17</v>
      </c>
      <c r="G50">
        <v>10</v>
      </c>
      <c r="H50">
        <v>171</v>
      </c>
      <c r="I50">
        <v>1710</v>
      </c>
      <c r="J50">
        <v>957.54</v>
      </c>
      <c r="K50">
        <v>752.46</v>
      </c>
      <c r="L50" t="s">
        <v>25</v>
      </c>
      <c r="M50" t="s">
        <v>44</v>
      </c>
      <c r="N50" t="str">
        <f>TEXT(SalesData[[#This Row],[Order Date]],"MMM-YYYY")</f>
        <v>Oct-2024</v>
      </c>
      <c r="O50" s="2">
        <f>SalesData[[#This Row],[Profit]]/SalesData[[#This Row],[Sales]]</f>
        <v>0.44003508771929828</v>
      </c>
    </row>
    <row r="51" spans="1:15" x14ac:dyDescent="0.25">
      <c r="A51" t="s">
        <v>88</v>
      </c>
      <c r="B51" s="1">
        <v>45382</v>
      </c>
      <c r="C51" t="s">
        <v>41</v>
      </c>
      <c r="D51" t="s">
        <v>42</v>
      </c>
      <c r="E51" t="s">
        <v>34</v>
      </c>
      <c r="F51" t="s">
        <v>35</v>
      </c>
      <c r="G51">
        <v>7</v>
      </c>
      <c r="H51">
        <v>629</v>
      </c>
      <c r="I51">
        <v>4403</v>
      </c>
      <c r="J51">
        <v>2965.67</v>
      </c>
      <c r="K51">
        <v>1437.33</v>
      </c>
      <c r="L51" t="s">
        <v>25</v>
      </c>
      <c r="M51" t="s">
        <v>30</v>
      </c>
      <c r="N51" t="str">
        <f>TEXT(SalesData[[#This Row],[Order Date]],"MMM-YYYY")</f>
        <v>Mar-2024</v>
      </c>
      <c r="O51" s="2">
        <f>SalesData[[#This Row],[Profit]]/SalesData[[#This Row],[Sales]]</f>
        <v>0.32644333409039289</v>
      </c>
    </row>
    <row r="52" spans="1:15" x14ac:dyDescent="0.25">
      <c r="A52" t="s">
        <v>89</v>
      </c>
      <c r="B52" s="1">
        <v>45507</v>
      </c>
      <c r="C52" t="s">
        <v>38</v>
      </c>
      <c r="D52" t="s">
        <v>28</v>
      </c>
      <c r="E52" t="s">
        <v>34</v>
      </c>
      <c r="F52" t="s">
        <v>35</v>
      </c>
      <c r="G52">
        <v>4</v>
      </c>
      <c r="H52">
        <v>798</v>
      </c>
      <c r="I52">
        <v>3192</v>
      </c>
      <c r="J52">
        <v>2449.89</v>
      </c>
      <c r="K52">
        <v>742.11</v>
      </c>
      <c r="L52" t="s">
        <v>18</v>
      </c>
      <c r="M52" t="s">
        <v>44</v>
      </c>
      <c r="N52" t="str">
        <f>TEXT(SalesData[[#This Row],[Order Date]],"MMM-YYYY")</f>
        <v>Aug-2024</v>
      </c>
      <c r="O52" s="2">
        <f>SalesData[[#This Row],[Profit]]/SalesData[[#This Row],[Sales]]</f>
        <v>0.23249060150375941</v>
      </c>
    </row>
    <row r="53" spans="1:15" x14ac:dyDescent="0.25">
      <c r="A53" t="s">
        <v>90</v>
      </c>
      <c r="B53" s="1">
        <v>45487</v>
      </c>
      <c r="C53" t="s">
        <v>14</v>
      </c>
      <c r="D53" t="s">
        <v>22</v>
      </c>
      <c r="E53" t="s">
        <v>16</v>
      </c>
      <c r="F53" t="s">
        <v>29</v>
      </c>
      <c r="G53">
        <v>10</v>
      </c>
      <c r="H53">
        <v>850</v>
      </c>
      <c r="I53">
        <v>8500</v>
      </c>
      <c r="J53">
        <v>4535.6000000000004</v>
      </c>
      <c r="K53">
        <v>3964.4</v>
      </c>
      <c r="L53" t="s">
        <v>18</v>
      </c>
      <c r="M53" t="s">
        <v>19</v>
      </c>
      <c r="N53" t="str">
        <f>TEXT(SalesData[[#This Row],[Order Date]],"MMM-YYYY")</f>
        <v>Jul-2024</v>
      </c>
      <c r="O53" s="2">
        <f>SalesData[[#This Row],[Profit]]/SalesData[[#This Row],[Sales]]</f>
        <v>0.46640000000000004</v>
      </c>
    </row>
    <row r="54" spans="1:15" x14ac:dyDescent="0.25">
      <c r="A54" t="s">
        <v>91</v>
      </c>
      <c r="B54" s="1">
        <v>45544</v>
      </c>
      <c r="C54" t="s">
        <v>21</v>
      </c>
      <c r="D54" t="s">
        <v>15</v>
      </c>
      <c r="E54" t="s">
        <v>34</v>
      </c>
      <c r="F54" t="s">
        <v>53</v>
      </c>
      <c r="G54">
        <v>5</v>
      </c>
      <c r="H54">
        <v>580</v>
      </c>
      <c r="I54">
        <v>2900</v>
      </c>
      <c r="J54">
        <v>1507.94</v>
      </c>
      <c r="K54">
        <v>1392.06</v>
      </c>
      <c r="L54" t="s">
        <v>25</v>
      </c>
      <c r="M54" t="s">
        <v>26</v>
      </c>
      <c r="N54" t="str">
        <f>TEXT(SalesData[[#This Row],[Order Date]],"MMM-YYYY")</f>
        <v>Sep-2024</v>
      </c>
      <c r="O54" s="2">
        <f>SalesData[[#This Row],[Profit]]/SalesData[[#This Row],[Sales]]</f>
        <v>0.48002068965517242</v>
      </c>
    </row>
    <row r="55" spans="1:15" x14ac:dyDescent="0.25">
      <c r="A55" t="s">
        <v>92</v>
      </c>
      <c r="B55" s="1">
        <v>45579</v>
      </c>
      <c r="C55" t="s">
        <v>41</v>
      </c>
      <c r="D55" t="s">
        <v>28</v>
      </c>
      <c r="E55" t="s">
        <v>16</v>
      </c>
      <c r="F55" t="s">
        <v>64</v>
      </c>
      <c r="G55">
        <v>6</v>
      </c>
      <c r="H55">
        <v>489</v>
      </c>
      <c r="I55">
        <v>2934</v>
      </c>
      <c r="J55">
        <v>2039.85</v>
      </c>
      <c r="K55">
        <v>894.15</v>
      </c>
      <c r="L55" t="s">
        <v>25</v>
      </c>
      <c r="M55" t="s">
        <v>44</v>
      </c>
      <c r="N55" t="str">
        <f>TEXT(SalesData[[#This Row],[Order Date]],"MMM-YYYY")</f>
        <v>Oct-2024</v>
      </c>
      <c r="O55" s="2">
        <f>SalesData[[#This Row],[Profit]]/SalesData[[#This Row],[Sales]]</f>
        <v>0.30475460122699388</v>
      </c>
    </row>
    <row r="56" spans="1:15" x14ac:dyDescent="0.25">
      <c r="A56" t="s">
        <v>93</v>
      </c>
      <c r="B56" s="1">
        <v>45559</v>
      </c>
      <c r="C56" t="s">
        <v>38</v>
      </c>
      <c r="D56" t="s">
        <v>42</v>
      </c>
      <c r="E56" t="s">
        <v>23</v>
      </c>
      <c r="F56" t="s">
        <v>43</v>
      </c>
      <c r="G56">
        <v>10</v>
      </c>
      <c r="H56">
        <v>578</v>
      </c>
      <c r="I56">
        <v>5780</v>
      </c>
      <c r="J56">
        <v>4190.95</v>
      </c>
      <c r="K56">
        <v>1589.05</v>
      </c>
      <c r="L56" t="s">
        <v>18</v>
      </c>
      <c r="M56" t="s">
        <v>19</v>
      </c>
      <c r="N56" t="str">
        <f>TEXT(SalesData[[#This Row],[Order Date]],"MMM-YYYY")</f>
        <v>Sep-2024</v>
      </c>
      <c r="O56" s="2">
        <f>SalesData[[#This Row],[Profit]]/SalesData[[#This Row],[Sales]]</f>
        <v>0.27492214532871972</v>
      </c>
    </row>
    <row r="57" spans="1:15" x14ac:dyDescent="0.25">
      <c r="A57" t="s">
        <v>94</v>
      </c>
      <c r="B57" s="1">
        <v>45363</v>
      </c>
      <c r="C57" t="s">
        <v>14</v>
      </c>
      <c r="D57" t="s">
        <v>28</v>
      </c>
      <c r="E57" t="s">
        <v>34</v>
      </c>
      <c r="F57" t="s">
        <v>47</v>
      </c>
      <c r="G57">
        <v>10</v>
      </c>
      <c r="H57">
        <v>737</v>
      </c>
      <c r="I57">
        <v>7370</v>
      </c>
      <c r="J57">
        <v>5349.17</v>
      </c>
      <c r="K57">
        <v>2020.83</v>
      </c>
      <c r="L57" t="s">
        <v>25</v>
      </c>
      <c r="M57" t="s">
        <v>26</v>
      </c>
      <c r="N57" t="str">
        <f>TEXT(SalesData[[#This Row],[Order Date]],"MMM-YYYY")</f>
        <v>Mar-2024</v>
      </c>
      <c r="O57" s="2">
        <f>SalesData[[#This Row],[Profit]]/SalesData[[#This Row],[Sales]]</f>
        <v>0.27419674355495249</v>
      </c>
    </row>
    <row r="58" spans="1:15" x14ac:dyDescent="0.25">
      <c r="A58" t="s">
        <v>95</v>
      </c>
      <c r="B58" s="1">
        <v>45314</v>
      </c>
      <c r="C58" t="s">
        <v>41</v>
      </c>
      <c r="D58" t="s">
        <v>22</v>
      </c>
      <c r="E58" t="s">
        <v>16</v>
      </c>
      <c r="F58" t="s">
        <v>17</v>
      </c>
      <c r="G58">
        <v>10</v>
      </c>
      <c r="H58">
        <v>626</v>
      </c>
      <c r="I58">
        <v>6260</v>
      </c>
      <c r="J58">
        <v>3933.15</v>
      </c>
      <c r="K58">
        <v>2326.85</v>
      </c>
      <c r="L58" t="s">
        <v>25</v>
      </c>
      <c r="M58" t="s">
        <v>30</v>
      </c>
      <c r="N58" t="str">
        <f>TEXT(SalesData[[#This Row],[Order Date]],"MMM-YYYY")</f>
        <v>Jan-2024</v>
      </c>
      <c r="O58" s="2">
        <f>SalesData[[#This Row],[Profit]]/SalesData[[#This Row],[Sales]]</f>
        <v>0.37170127795527153</v>
      </c>
    </row>
    <row r="59" spans="1:15" x14ac:dyDescent="0.25">
      <c r="A59" t="s">
        <v>96</v>
      </c>
      <c r="B59" s="1">
        <v>45403</v>
      </c>
      <c r="C59" t="s">
        <v>41</v>
      </c>
      <c r="D59" t="s">
        <v>15</v>
      </c>
      <c r="E59" t="s">
        <v>16</v>
      </c>
      <c r="F59" t="s">
        <v>17</v>
      </c>
      <c r="G59">
        <v>3</v>
      </c>
      <c r="H59">
        <v>817</v>
      </c>
      <c r="I59">
        <v>2451</v>
      </c>
      <c r="J59">
        <v>1845.94</v>
      </c>
      <c r="K59">
        <v>605.05999999999995</v>
      </c>
      <c r="L59" t="s">
        <v>18</v>
      </c>
      <c r="M59" t="s">
        <v>30</v>
      </c>
      <c r="N59" t="str">
        <f>TEXT(SalesData[[#This Row],[Order Date]],"MMM-YYYY")</f>
        <v>Apr-2024</v>
      </c>
      <c r="O59" s="2">
        <f>SalesData[[#This Row],[Profit]]/SalesData[[#This Row],[Sales]]</f>
        <v>0.24686250509995919</v>
      </c>
    </row>
    <row r="60" spans="1:15" x14ac:dyDescent="0.25">
      <c r="A60" t="s">
        <v>97</v>
      </c>
      <c r="B60" s="1">
        <v>45341</v>
      </c>
      <c r="C60" t="s">
        <v>41</v>
      </c>
      <c r="D60" t="s">
        <v>15</v>
      </c>
      <c r="E60" t="s">
        <v>23</v>
      </c>
      <c r="F60" t="s">
        <v>24</v>
      </c>
      <c r="G60">
        <v>5</v>
      </c>
      <c r="H60">
        <v>65</v>
      </c>
      <c r="I60">
        <v>325</v>
      </c>
      <c r="J60">
        <v>172.69</v>
      </c>
      <c r="K60">
        <v>152.31</v>
      </c>
      <c r="L60" t="s">
        <v>25</v>
      </c>
      <c r="M60" t="s">
        <v>26</v>
      </c>
      <c r="N60" t="str">
        <f>TEXT(SalesData[[#This Row],[Order Date]],"MMM-YYYY")</f>
        <v>Feb-2024</v>
      </c>
      <c r="O60" s="2">
        <f>SalesData[[#This Row],[Profit]]/SalesData[[#This Row],[Sales]]</f>
        <v>0.46864615384615388</v>
      </c>
    </row>
    <row r="61" spans="1:15" x14ac:dyDescent="0.25">
      <c r="A61" t="s">
        <v>98</v>
      </c>
      <c r="B61" s="1">
        <v>45546</v>
      </c>
      <c r="C61" t="s">
        <v>21</v>
      </c>
      <c r="D61" t="s">
        <v>28</v>
      </c>
      <c r="E61" t="s">
        <v>34</v>
      </c>
      <c r="F61" t="s">
        <v>53</v>
      </c>
      <c r="G61">
        <v>3</v>
      </c>
      <c r="H61">
        <v>59</v>
      </c>
      <c r="I61">
        <v>177</v>
      </c>
      <c r="J61">
        <v>104.36</v>
      </c>
      <c r="K61">
        <v>72.64</v>
      </c>
      <c r="L61" t="s">
        <v>25</v>
      </c>
      <c r="M61" t="s">
        <v>19</v>
      </c>
      <c r="N61" t="str">
        <f>TEXT(SalesData[[#This Row],[Order Date]],"MMM-YYYY")</f>
        <v>Sep-2024</v>
      </c>
      <c r="O61" s="2">
        <f>SalesData[[#This Row],[Profit]]/SalesData[[#This Row],[Sales]]</f>
        <v>0.41039548022598871</v>
      </c>
    </row>
    <row r="62" spans="1:15" x14ac:dyDescent="0.25">
      <c r="A62" t="s">
        <v>99</v>
      </c>
      <c r="B62" s="1">
        <v>45364</v>
      </c>
      <c r="C62" t="s">
        <v>41</v>
      </c>
      <c r="D62" t="s">
        <v>28</v>
      </c>
      <c r="E62" t="s">
        <v>34</v>
      </c>
      <c r="F62" t="s">
        <v>35</v>
      </c>
      <c r="G62">
        <v>5</v>
      </c>
      <c r="H62">
        <v>332</v>
      </c>
      <c r="I62">
        <v>1660</v>
      </c>
      <c r="J62">
        <v>1127.02</v>
      </c>
      <c r="K62">
        <v>532.98</v>
      </c>
      <c r="L62" t="s">
        <v>25</v>
      </c>
      <c r="M62" t="s">
        <v>19</v>
      </c>
      <c r="N62" t="str">
        <f>TEXT(SalesData[[#This Row],[Order Date]],"MMM-YYYY")</f>
        <v>Mar-2024</v>
      </c>
      <c r="O62" s="2">
        <f>SalesData[[#This Row],[Profit]]/SalesData[[#This Row],[Sales]]</f>
        <v>0.3210722891566265</v>
      </c>
    </row>
    <row r="63" spans="1:15" x14ac:dyDescent="0.25">
      <c r="A63" t="s">
        <v>100</v>
      </c>
      <c r="B63" s="1">
        <v>45584</v>
      </c>
      <c r="C63" t="s">
        <v>21</v>
      </c>
      <c r="D63" t="s">
        <v>28</v>
      </c>
      <c r="E63" t="s">
        <v>34</v>
      </c>
      <c r="F63" t="s">
        <v>53</v>
      </c>
      <c r="G63">
        <v>6</v>
      </c>
      <c r="H63">
        <v>406</v>
      </c>
      <c r="I63">
        <v>2436</v>
      </c>
      <c r="J63">
        <v>1848.85</v>
      </c>
      <c r="K63">
        <v>587.15</v>
      </c>
      <c r="L63" t="s">
        <v>18</v>
      </c>
      <c r="M63" t="s">
        <v>44</v>
      </c>
      <c r="N63" t="str">
        <f>TEXT(SalesData[[#This Row],[Order Date]],"MMM-YYYY")</f>
        <v>Oct-2024</v>
      </c>
      <c r="O63" s="2">
        <f>SalesData[[#This Row],[Profit]]/SalesData[[#This Row],[Sales]]</f>
        <v>0.2410303776683087</v>
      </c>
    </row>
    <row r="64" spans="1:15" x14ac:dyDescent="0.25">
      <c r="A64" t="s">
        <v>101</v>
      </c>
      <c r="B64" s="1">
        <v>45438</v>
      </c>
      <c r="C64" t="s">
        <v>14</v>
      </c>
      <c r="D64" t="s">
        <v>28</v>
      </c>
      <c r="E64" t="s">
        <v>23</v>
      </c>
      <c r="F64" t="s">
        <v>39</v>
      </c>
      <c r="G64">
        <v>1</v>
      </c>
      <c r="H64">
        <v>707</v>
      </c>
      <c r="I64">
        <v>707</v>
      </c>
      <c r="J64">
        <v>518.64</v>
      </c>
      <c r="K64">
        <v>188.36</v>
      </c>
      <c r="L64" t="s">
        <v>25</v>
      </c>
      <c r="M64" t="s">
        <v>26</v>
      </c>
      <c r="N64" t="str">
        <f>TEXT(SalesData[[#This Row],[Order Date]],"MMM-YYYY")</f>
        <v>May-2024</v>
      </c>
      <c r="O64" s="2">
        <f>SalesData[[#This Row],[Profit]]/SalesData[[#This Row],[Sales]]</f>
        <v>0.26642149929278647</v>
      </c>
    </row>
    <row r="65" spans="1:15" x14ac:dyDescent="0.25">
      <c r="A65" t="s">
        <v>102</v>
      </c>
      <c r="B65" s="1">
        <v>45528</v>
      </c>
      <c r="C65" t="s">
        <v>38</v>
      </c>
      <c r="D65" t="s">
        <v>15</v>
      </c>
      <c r="E65" t="s">
        <v>23</v>
      </c>
      <c r="F65" t="s">
        <v>39</v>
      </c>
      <c r="G65">
        <v>10</v>
      </c>
      <c r="H65">
        <v>977</v>
      </c>
      <c r="I65">
        <v>9770</v>
      </c>
      <c r="J65">
        <v>6580.48</v>
      </c>
      <c r="K65">
        <v>3189.52</v>
      </c>
      <c r="L65" t="s">
        <v>25</v>
      </c>
      <c r="M65" t="s">
        <v>30</v>
      </c>
      <c r="N65" t="str">
        <f>TEXT(SalesData[[#This Row],[Order Date]],"MMM-YYYY")</f>
        <v>Aug-2024</v>
      </c>
      <c r="O65" s="2">
        <f>SalesData[[#This Row],[Profit]]/SalesData[[#This Row],[Sales]]</f>
        <v>0.32646059365404301</v>
      </c>
    </row>
    <row r="66" spans="1:15" x14ac:dyDescent="0.25">
      <c r="A66" t="s">
        <v>103</v>
      </c>
      <c r="B66" s="1">
        <v>45350</v>
      </c>
      <c r="C66" t="s">
        <v>21</v>
      </c>
      <c r="D66" t="s">
        <v>22</v>
      </c>
      <c r="E66" t="s">
        <v>23</v>
      </c>
      <c r="F66" t="s">
        <v>39</v>
      </c>
      <c r="G66">
        <v>1</v>
      </c>
      <c r="H66">
        <v>643</v>
      </c>
      <c r="I66">
        <v>643</v>
      </c>
      <c r="J66">
        <v>514.30999999999995</v>
      </c>
      <c r="K66">
        <v>128.69</v>
      </c>
      <c r="L66" t="s">
        <v>18</v>
      </c>
      <c r="M66" t="s">
        <v>44</v>
      </c>
      <c r="N66" t="str">
        <f>TEXT(SalesData[[#This Row],[Order Date]],"MMM-YYYY")</f>
        <v>Feb-2024</v>
      </c>
      <c r="O66" s="2">
        <f>SalesData[[#This Row],[Profit]]/SalesData[[#This Row],[Sales]]</f>
        <v>0.20013996889580093</v>
      </c>
    </row>
    <row r="67" spans="1:15" x14ac:dyDescent="0.25">
      <c r="A67" t="s">
        <v>104</v>
      </c>
      <c r="B67" s="1">
        <v>45321</v>
      </c>
      <c r="C67" t="s">
        <v>14</v>
      </c>
      <c r="D67" t="s">
        <v>22</v>
      </c>
      <c r="E67" t="s">
        <v>16</v>
      </c>
      <c r="F67" t="s">
        <v>29</v>
      </c>
      <c r="G67">
        <v>5</v>
      </c>
      <c r="H67">
        <v>866</v>
      </c>
      <c r="I67">
        <v>4330</v>
      </c>
      <c r="J67">
        <v>2499</v>
      </c>
      <c r="K67">
        <v>1831</v>
      </c>
      <c r="L67" t="s">
        <v>18</v>
      </c>
      <c r="M67" t="s">
        <v>19</v>
      </c>
      <c r="N67" t="str">
        <f>TEXT(SalesData[[#This Row],[Order Date]],"MMM-YYYY")</f>
        <v>Jan-2024</v>
      </c>
      <c r="O67" s="2">
        <f>SalesData[[#This Row],[Profit]]/SalesData[[#This Row],[Sales]]</f>
        <v>0.42286374133949189</v>
      </c>
    </row>
    <row r="68" spans="1:15" x14ac:dyDescent="0.25">
      <c r="A68" t="s">
        <v>105</v>
      </c>
      <c r="B68" s="1">
        <v>45434</v>
      </c>
      <c r="C68" t="s">
        <v>38</v>
      </c>
      <c r="D68" t="s">
        <v>15</v>
      </c>
      <c r="E68" t="s">
        <v>16</v>
      </c>
      <c r="F68" t="s">
        <v>29</v>
      </c>
      <c r="G68">
        <v>4</v>
      </c>
      <c r="H68">
        <v>627</v>
      </c>
      <c r="I68">
        <v>2508</v>
      </c>
      <c r="J68">
        <v>1493.69</v>
      </c>
      <c r="K68">
        <v>1014.31</v>
      </c>
      <c r="L68" t="s">
        <v>25</v>
      </c>
      <c r="M68" t="s">
        <v>44</v>
      </c>
      <c r="N68" t="str">
        <f>TEXT(SalesData[[#This Row],[Order Date]],"MMM-YYYY")</f>
        <v>May-2024</v>
      </c>
      <c r="O68" s="2">
        <f>SalesData[[#This Row],[Profit]]/SalesData[[#This Row],[Sales]]</f>
        <v>0.40442982456140347</v>
      </c>
    </row>
    <row r="69" spans="1:15" x14ac:dyDescent="0.25">
      <c r="A69" t="s">
        <v>106</v>
      </c>
      <c r="B69" s="1">
        <v>45485</v>
      </c>
      <c r="C69" t="s">
        <v>21</v>
      </c>
      <c r="D69" t="s">
        <v>22</v>
      </c>
      <c r="E69" t="s">
        <v>16</v>
      </c>
      <c r="F69" t="s">
        <v>29</v>
      </c>
      <c r="G69">
        <v>1</v>
      </c>
      <c r="H69">
        <v>483</v>
      </c>
      <c r="I69">
        <v>483</v>
      </c>
      <c r="J69">
        <v>309.45</v>
      </c>
      <c r="K69">
        <v>173.55</v>
      </c>
      <c r="L69" t="s">
        <v>25</v>
      </c>
      <c r="M69" t="s">
        <v>19</v>
      </c>
      <c r="N69" t="str">
        <f>TEXT(SalesData[[#This Row],[Order Date]],"MMM-YYYY")</f>
        <v>Jul-2024</v>
      </c>
      <c r="O69" s="2">
        <f>SalesData[[#This Row],[Profit]]/SalesData[[#This Row],[Sales]]</f>
        <v>0.35931677018633545</v>
      </c>
    </row>
    <row r="70" spans="1:15" x14ac:dyDescent="0.25">
      <c r="A70" t="s">
        <v>107</v>
      </c>
      <c r="B70" s="1">
        <v>45587</v>
      </c>
      <c r="C70" t="s">
        <v>38</v>
      </c>
      <c r="D70" t="s">
        <v>15</v>
      </c>
      <c r="E70" t="s">
        <v>34</v>
      </c>
      <c r="F70" t="s">
        <v>47</v>
      </c>
      <c r="G70">
        <v>9</v>
      </c>
      <c r="H70">
        <v>934</v>
      </c>
      <c r="I70">
        <v>8406</v>
      </c>
      <c r="J70">
        <v>4557.83</v>
      </c>
      <c r="K70">
        <v>3848.17</v>
      </c>
      <c r="L70" t="s">
        <v>18</v>
      </c>
      <c r="M70" t="s">
        <v>30</v>
      </c>
      <c r="N70" t="str">
        <f>TEXT(SalesData[[#This Row],[Order Date]],"MMM-YYYY")</f>
        <v>Oct-2024</v>
      </c>
      <c r="O70" s="2">
        <f>SalesData[[#This Row],[Profit]]/SalesData[[#This Row],[Sales]]</f>
        <v>0.45778848441589343</v>
      </c>
    </row>
    <row r="71" spans="1:15" x14ac:dyDescent="0.25">
      <c r="A71" t="s">
        <v>108</v>
      </c>
      <c r="B71" s="1">
        <v>45315</v>
      </c>
      <c r="C71" t="s">
        <v>21</v>
      </c>
      <c r="D71" t="s">
        <v>22</v>
      </c>
      <c r="E71" t="s">
        <v>23</v>
      </c>
      <c r="F71" t="s">
        <v>43</v>
      </c>
      <c r="G71">
        <v>6</v>
      </c>
      <c r="H71">
        <v>204</v>
      </c>
      <c r="I71">
        <v>1224</v>
      </c>
      <c r="J71">
        <v>864.33</v>
      </c>
      <c r="K71">
        <v>359.67</v>
      </c>
      <c r="L71" t="s">
        <v>18</v>
      </c>
      <c r="M71" t="s">
        <v>44</v>
      </c>
      <c r="N71" t="str">
        <f>TEXT(SalesData[[#This Row],[Order Date]],"MMM-YYYY")</f>
        <v>Jan-2024</v>
      </c>
      <c r="O71" s="2">
        <f>SalesData[[#This Row],[Profit]]/SalesData[[#This Row],[Sales]]</f>
        <v>0.29384803921568631</v>
      </c>
    </row>
    <row r="72" spans="1:15" x14ac:dyDescent="0.25">
      <c r="A72" t="s">
        <v>109</v>
      </c>
      <c r="B72" s="1">
        <v>45378</v>
      </c>
      <c r="C72" t="s">
        <v>38</v>
      </c>
      <c r="D72" t="s">
        <v>42</v>
      </c>
      <c r="E72" t="s">
        <v>23</v>
      </c>
      <c r="F72" t="s">
        <v>39</v>
      </c>
      <c r="G72">
        <v>9</v>
      </c>
      <c r="H72">
        <v>480</v>
      </c>
      <c r="I72">
        <v>4320</v>
      </c>
      <c r="J72">
        <v>2821.31</v>
      </c>
      <c r="K72">
        <v>1498.69</v>
      </c>
      <c r="L72" t="s">
        <v>18</v>
      </c>
      <c r="M72" t="s">
        <v>26</v>
      </c>
      <c r="N72" t="str">
        <f>TEXT(SalesData[[#This Row],[Order Date]],"MMM-YYYY")</f>
        <v>Mar-2024</v>
      </c>
      <c r="O72" s="2">
        <f>SalesData[[#This Row],[Profit]]/SalesData[[#This Row],[Sales]]</f>
        <v>0.34691898148148148</v>
      </c>
    </row>
    <row r="73" spans="1:15" x14ac:dyDescent="0.25">
      <c r="A73" t="s">
        <v>110</v>
      </c>
      <c r="B73" s="1">
        <v>45351</v>
      </c>
      <c r="C73" t="s">
        <v>41</v>
      </c>
      <c r="D73" t="s">
        <v>22</v>
      </c>
      <c r="E73" t="s">
        <v>23</v>
      </c>
      <c r="F73" t="s">
        <v>43</v>
      </c>
      <c r="G73">
        <v>9</v>
      </c>
      <c r="H73">
        <v>191</v>
      </c>
      <c r="I73">
        <v>1719</v>
      </c>
      <c r="J73">
        <v>1274.33</v>
      </c>
      <c r="K73">
        <v>444.67</v>
      </c>
      <c r="L73" t="s">
        <v>18</v>
      </c>
      <c r="M73" t="s">
        <v>30</v>
      </c>
      <c r="N73" t="str">
        <f>TEXT(SalesData[[#This Row],[Order Date]],"MMM-YYYY")</f>
        <v>Feb-2024</v>
      </c>
      <c r="O73" s="2">
        <f>SalesData[[#This Row],[Profit]]/SalesData[[#This Row],[Sales]]</f>
        <v>0.25867946480511927</v>
      </c>
    </row>
    <row r="74" spans="1:15" x14ac:dyDescent="0.25">
      <c r="A74" t="s">
        <v>111</v>
      </c>
      <c r="B74" s="1">
        <v>45494</v>
      </c>
      <c r="C74" t="s">
        <v>21</v>
      </c>
      <c r="D74" t="s">
        <v>15</v>
      </c>
      <c r="E74" t="s">
        <v>34</v>
      </c>
      <c r="F74" t="s">
        <v>47</v>
      </c>
      <c r="G74">
        <v>4</v>
      </c>
      <c r="H74">
        <v>757</v>
      </c>
      <c r="I74">
        <v>3028</v>
      </c>
      <c r="J74">
        <v>2393.88</v>
      </c>
      <c r="K74">
        <v>634.12</v>
      </c>
      <c r="L74" t="s">
        <v>25</v>
      </c>
      <c r="M74" t="s">
        <v>19</v>
      </c>
      <c r="N74" t="str">
        <f>TEXT(SalesData[[#This Row],[Order Date]],"MMM-YYYY")</f>
        <v>Jul-2024</v>
      </c>
      <c r="O74" s="2">
        <f>SalesData[[#This Row],[Profit]]/SalesData[[#This Row],[Sales]]</f>
        <v>0.20941875825627476</v>
      </c>
    </row>
    <row r="75" spans="1:15" x14ac:dyDescent="0.25">
      <c r="A75" t="s">
        <v>112</v>
      </c>
      <c r="B75" s="1">
        <v>45434</v>
      </c>
      <c r="C75" t="s">
        <v>41</v>
      </c>
      <c r="D75" t="s">
        <v>15</v>
      </c>
      <c r="E75" t="s">
        <v>16</v>
      </c>
      <c r="F75" t="s">
        <v>29</v>
      </c>
      <c r="G75">
        <v>1</v>
      </c>
      <c r="H75">
        <v>941</v>
      </c>
      <c r="I75">
        <v>941</v>
      </c>
      <c r="J75">
        <v>713.82</v>
      </c>
      <c r="K75">
        <v>227.18</v>
      </c>
      <c r="L75" t="s">
        <v>18</v>
      </c>
      <c r="M75" t="s">
        <v>26</v>
      </c>
      <c r="N75" t="str">
        <f>TEXT(SalesData[[#This Row],[Order Date]],"MMM-YYYY")</f>
        <v>May-2024</v>
      </c>
      <c r="O75" s="2">
        <f>SalesData[[#This Row],[Profit]]/SalesData[[#This Row],[Sales]]</f>
        <v>0.24142401700318811</v>
      </c>
    </row>
    <row r="76" spans="1:15" x14ac:dyDescent="0.25">
      <c r="A76" t="s">
        <v>113</v>
      </c>
      <c r="B76" s="1">
        <v>45546</v>
      </c>
      <c r="C76" t="s">
        <v>38</v>
      </c>
      <c r="D76" t="s">
        <v>15</v>
      </c>
      <c r="E76" t="s">
        <v>16</v>
      </c>
      <c r="F76" t="s">
        <v>29</v>
      </c>
      <c r="G76">
        <v>8</v>
      </c>
      <c r="H76">
        <v>57</v>
      </c>
      <c r="I76">
        <v>456</v>
      </c>
      <c r="J76">
        <v>339.08</v>
      </c>
      <c r="K76">
        <v>116.92</v>
      </c>
      <c r="L76" t="s">
        <v>18</v>
      </c>
      <c r="M76" t="s">
        <v>30</v>
      </c>
      <c r="N76" t="str">
        <f>TEXT(SalesData[[#This Row],[Order Date]],"MMM-YYYY")</f>
        <v>Sep-2024</v>
      </c>
      <c r="O76" s="2">
        <f>SalesData[[#This Row],[Profit]]/SalesData[[#This Row],[Sales]]</f>
        <v>0.25640350877192986</v>
      </c>
    </row>
    <row r="77" spans="1:15" x14ac:dyDescent="0.25">
      <c r="A77" t="s">
        <v>114</v>
      </c>
      <c r="B77" s="1">
        <v>45578</v>
      </c>
      <c r="C77" t="s">
        <v>14</v>
      </c>
      <c r="D77" t="s">
        <v>28</v>
      </c>
      <c r="E77" t="s">
        <v>34</v>
      </c>
      <c r="F77" t="s">
        <v>35</v>
      </c>
      <c r="G77">
        <v>9</v>
      </c>
      <c r="H77">
        <v>161</v>
      </c>
      <c r="I77">
        <v>1449</v>
      </c>
      <c r="J77">
        <v>797.34</v>
      </c>
      <c r="K77">
        <v>651.66</v>
      </c>
      <c r="L77" t="s">
        <v>25</v>
      </c>
      <c r="M77" t="s">
        <v>44</v>
      </c>
      <c r="N77" t="str">
        <f>TEXT(SalesData[[#This Row],[Order Date]],"MMM-YYYY")</f>
        <v>Oct-2024</v>
      </c>
      <c r="O77" s="2">
        <f>SalesData[[#This Row],[Profit]]/SalesData[[#This Row],[Sales]]</f>
        <v>0.44973084886128362</v>
      </c>
    </row>
    <row r="78" spans="1:15" x14ac:dyDescent="0.25">
      <c r="A78" t="s">
        <v>115</v>
      </c>
      <c r="B78" s="1">
        <v>45570</v>
      </c>
      <c r="C78" t="s">
        <v>14</v>
      </c>
      <c r="D78" t="s">
        <v>28</v>
      </c>
      <c r="E78" t="s">
        <v>16</v>
      </c>
      <c r="F78" t="s">
        <v>29</v>
      </c>
      <c r="G78">
        <v>8</v>
      </c>
      <c r="H78">
        <v>878</v>
      </c>
      <c r="I78">
        <v>7024</v>
      </c>
      <c r="J78">
        <v>3518.34</v>
      </c>
      <c r="K78">
        <v>3505.66</v>
      </c>
      <c r="L78" t="s">
        <v>25</v>
      </c>
      <c r="M78" t="s">
        <v>44</v>
      </c>
      <c r="N78" t="str">
        <f>TEXT(SalesData[[#This Row],[Order Date]],"MMM-YYYY")</f>
        <v>Oct-2024</v>
      </c>
      <c r="O78" s="2">
        <f>SalesData[[#This Row],[Profit]]/SalesData[[#This Row],[Sales]]</f>
        <v>0.49909738041002277</v>
      </c>
    </row>
    <row r="79" spans="1:15" x14ac:dyDescent="0.25">
      <c r="A79" t="s">
        <v>116</v>
      </c>
      <c r="B79" s="1">
        <v>45513</v>
      </c>
      <c r="C79" t="s">
        <v>21</v>
      </c>
      <c r="D79" t="s">
        <v>28</v>
      </c>
      <c r="E79" t="s">
        <v>16</v>
      </c>
      <c r="F79" t="s">
        <v>29</v>
      </c>
      <c r="G79">
        <v>1</v>
      </c>
      <c r="H79">
        <v>539</v>
      </c>
      <c r="I79">
        <v>539</v>
      </c>
      <c r="J79">
        <v>278.37</v>
      </c>
      <c r="K79">
        <v>260.63</v>
      </c>
      <c r="L79" t="s">
        <v>18</v>
      </c>
      <c r="M79" t="s">
        <v>26</v>
      </c>
      <c r="N79" t="str">
        <f>TEXT(SalesData[[#This Row],[Order Date]],"MMM-YYYY")</f>
        <v>Aug-2024</v>
      </c>
      <c r="O79" s="2">
        <f>SalesData[[#This Row],[Profit]]/SalesData[[#This Row],[Sales]]</f>
        <v>0.48354359925788498</v>
      </c>
    </row>
    <row r="80" spans="1:15" x14ac:dyDescent="0.25">
      <c r="A80" t="s">
        <v>117</v>
      </c>
      <c r="B80" s="1">
        <v>45447</v>
      </c>
      <c r="C80" t="s">
        <v>21</v>
      </c>
      <c r="D80" t="s">
        <v>28</v>
      </c>
      <c r="E80" t="s">
        <v>34</v>
      </c>
      <c r="F80" t="s">
        <v>35</v>
      </c>
      <c r="G80">
        <v>5</v>
      </c>
      <c r="H80">
        <v>236</v>
      </c>
      <c r="I80">
        <v>1180</v>
      </c>
      <c r="J80">
        <v>916.67</v>
      </c>
      <c r="K80">
        <v>263.33</v>
      </c>
      <c r="L80" t="s">
        <v>18</v>
      </c>
      <c r="M80" t="s">
        <v>44</v>
      </c>
      <c r="N80" t="str">
        <f>TEXT(SalesData[[#This Row],[Order Date]],"MMM-YYYY")</f>
        <v>Jun-2024</v>
      </c>
      <c r="O80" s="2">
        <f>SalesData[[#This Row],[Profit]]/SalesData[[#This Row],[Sales]]</f>
        <v>0.22316101694915252</v>
      </c>
    </row>
    <row r="81" spans="1:15" x14ac:dyDescent="0.25">
      <c r="A81" t="s">
        <v>118</v>
      </c>
      <c r="B81" s="1">
        <v>45520</v>
      </c>
      <c r="C81" t="s">
        <v>21</v>
      </c>
      <c r="D81" t="s">
        <v>22</v>
      </c>
      <c r="E81" t="s">
        <v>34</v>
      </c>
      <c r="F81" t="s">
        <v>47</v>
      </c>
      <c r="G81">
        <v>3</v>
      </c>
      <c r="H81">
        <v>85</v>
      </c>
      <c r="I81">
        <v>255</v>
      </c>
      <c r="J81">
        <v>187.73</v>
      </c>
      <c r="K81">
        <v>67.27</v>
      </c>
      <c r="L81" t="s">
        <v>18</v>
      </c>
      <c r="M81" t="s">
        <v>19</v>
      </c>
      <c r="N81" t="str">
        <f>TEXT(SalesData[[#This Row],[Order Date]],"MMM-YYYY")</f>
        <v>Aug-2024</v>
      </c>
      <c r="O81" s="2">
        <f>SalesData[[#This Row],[Profit]]/SalesData[[#This Row],[Sales]]</f>
        <v>0.26380392156862742</v>
      </c>
    </row>
    <row r="82" spans="1:15" x14ac:dyDescent="0.25">
      <c r="A82" t="s">
        <v>119</v>
      </c>
      <c r="B82" s="1">
        <v>45490</v>
      </c>
      <c r="C82" t="s">
        <v>21</v>
      </c>
      <c r="D82" t="s">
        <v>15</v>
      </c>
      <c r="E82" t="s">
        <v>23</v>
      </c>
      <c r="F82" t="s">
        <v>24</v>
      </c>
      <c r="G82">
        <v>1</v>
      </c>
      <c r="H82">
        <v>427</v>
      </c>
      <c r="I82">
        <v>427</v>
      </c>
      <c r="J82">
        <v>259.82</v>
      </c>
      <c r="K82">
        <v>167.18</v>
      </c>
      <c r="L82" t="s">
        <v>18</v>
      </c>
      <c r="M82" t="s">
        <v>19</v>
      </c>
      <c r="N82" t="str">
        <f>TEXT(SalesData[[#This Row],[Order Date]],"MMM-YYYY")</f>
        <v>Jul-2024</v>
      </c>
      <c r="O82" s="2">
        <f>SalesData[[#This Row],[Profit]]/SalesData[[#This Row],[Sales]]</f>
        <v>0.39152224824355975</v>
      </c>
    </row>
    <row r="83" spans="1:15" x14ac:dyDescent="0.25">
      <c r="A83" t="s">
        <v>120</v>
      </c>
      <c r="B83" s="1">
        <v>45372</v>
      </c>
      <c r="C83" t="s">
        <v>21</v>
      </c>
      <c r="D83" t="s">
        <v>42</v>
      </c>
      <c r="E83" t="s">
        <v>23</v>
      </c>
      <c r="F83" t="s">
        <v>43</v>
      </c>
      <c r="G83">
        <v>9</v>
      </c>
      <c r="H83">
        <v>289</v>
      </c>
      <c r="I83">
        <v>2601</v>
      </c>
      <c r="J83">
        <v>1648.3</v>
      </c>
      <c r="K83">
        <v>952.7</v>
      </c>
      <c r="L83" t="s">
        <v>18</v>
      </c>
      <c r="M83" t="s">
        <v>19</v>
      </c>
      <c r="N83" t="str">
        <f>TEXT(SalesData[[#This Row],[Order Date]],"MMM-YYYY")</f>
        <v>Mar-2024</v>
      </c>
      <c r="O83" s="2">
        <f>SalesData[[#This Row],[Profit]]/SalesData[[#This Row],[Sales]]</f>
        <v>0.36628219915417148</v>
      </c>
    </row>
    <row r="84" spans="1:15" x14ac:dyDescent="0.25">
      <c r="A84" t="s">
        <v>121</v>
      </c>
      <c r="B84" s="1">
        <v>45582</v>
      </c>
      <c r="C84" t="s">
        <v>41</v>
      </c>
      <c r="D84" t="s">
        <v>15</v>
      </c>
      <c r="E84" t="s">
        <v>23</v>
      </c>
      <c r="F84" t="s">
        <v>39</v>
      </c>
      <c r="G84">
        <v>8</v>
      </c>
      <c r="H84">
        <v>314</v>
      </c>
      <c r="I84">
        <v>2512</v>
      </c>
      <c r="J84">
        <v>1281.32</v>
      </c>
      <c r="K84">
        <v>1230.68</v>
      </c>
      <c r="L84" t="s">
        <v>18</v>
      </c>
      <c r="M84" t="s">
        <v>30</v>
      </c>
      <c r="N84" t="str">
        <f>TEXT(SalesData[[#This Row],[Order Date]],"MMM-YYYY")</f>
        <v>Oct-2024</v>
      </c>
      <c r="O84" s="2">
        <f>SalesData[[#This Row],[Profit]]/SalesData[[#This Row],[Sales]]</f>
        <v>0.48992038216560513</v>
      </c>
    </row>
    <row r="85" spans="1:15" x14ac:dyDescent="0.25">
      <c r="A85" t="s">
        <v>122</v>
      </c>
      <c r="B85" s="1">
        <v>45400</v>
      </c>
      <c r="C85" t="s">
        <v>41</v>
      </c>
      <c r="D85" t="s">
        <v>42</v>
      </c>
      <c r="E85" t="s">
        <v>16</v>
      </c>
      <c r="F85" t="s">
        <v>29</v>
      </c>
      <c r="G85">
        <v>4</v>
      </c>
      <c r="H85">
        <v>357</v>
      </c>
      <c r="I85">
        <v>1428</v>
      </c>
      <c r="J85">
        <v>1041.97</v>
      </c>
      <c r="K85">
        <v>386.03</v>
      </c>
      <c r="L85" t="s">
        <v>25</v>
      </c>
      <c r="M85" t="s">
        <v>30</v>
      </c>
      <c r="N85" t="str">
        <f>TEXT(SalesData[[#This Row],[Order Date]],"MMM-YYYY")</f>
        <v>Apr-2024</v>
      </c>
      <c r="O85" s="2">
        <f>SalesData[[#This Row],[Profit]]/SalesData[[#This Row],[Sales]]</f>
        <v>0.27032913165266104</v>
      </c>
    </row>
    <row r="86" spans="1:15" x14ac:dyDescent="0.25">
      <c r="A86" t="s">
        <v>123</v>
      </c>
      <c r="B86" s="1">
        <v>45310</v>
      </c>
      <c r="C86" t="s">
        <v>14</v>
      </c>
      <c r="D86" t="s">
        <v>28</v>
      </c>
      <c r="E86" t="s">
        <v>34</v>
      </c>
      <c r="F86" t="s">
        <v>35</v>
      </c>
      <c r="G86">
        <v>4</v>
      </c>
      <c r="H86">
        <v>563</v>
      </c>
      <c r="I86">
        <v>2252</v>
      </c>
      <c r="J86">
        <v>1566.93</v>
      </c>
      <c r="K86">
        <v>685.07</v>
      </c>
      <c r="L86" t="s">
        <v>25</v>
      </c>
      <c r="M86" t="s">
        <v>30</v>
      </c>
      <c r="N86" t="str">
        <f>TEXT(SalesData[[#This Row],[Order Date]],"MMM-YYYY")</f>
        <v>Jan-2024</v>
      </c>
      <c r="O86" s="2">
        <f>SalesData[[#This Row],[Profit]]/SalesData[[#This Row],[Sales]]</f>
        <v>0.30420515097690942</v>
      </c>
    </row>
    <row r="87" spans="1:15" x14ac:dyDescent="0.25">
      <c r="A87" t="s">
        <v>124</v>
      </c>
      <c r="B87" s="1">
        <v>45469</v>
      </c>
      <c r="C87" t="s">
        <v>21</v>
      </c>
      <c r="D87" t="s">
        <v>28</v>
      </c>
      <c r="E87" t="s">
        <v>16</v>
      </c>
      <c r="F87" t="s">
        <v>17</v>
      </c>
      <c r="G87">
        <v>5</v>
      </c>
      <c r="H87">
        <v>747</v>
      </c>
      <c r="I87">
        <v>3735</v>
      </c>
      <c r="J87">
        <v>1924.71</v>
      </c>
      <c r="K87">
        <v>1810.29</v>
      </c>
      <c r="L87" t="s">
        <v>18</v>
      </c>
      <c r="M87" t="s">
        <v>26</v>
      </c>
      <c r="N87" t="str">
        <f>TEXT(SalesData[[#This Row],[Order Date]],"MMM-YYYY")</f>
        <v>Jun-2024</v>
      </c>
      <c r="O87" s="2">
        <f>SalesData[[#This Row],[Profit]]/SalesData[[#This Row],[Sales]]</f>
        <v>0.48468273092369479</v>
      </c>
    </row>
    <row r="88" spans="1:15" x14ac:dyDescent="0.25">
      <c r="A88" t="s">
        <v>125</v>
      </c>
      <c r="B88" s="1">
        <v>45484</v>
      </c>
      <c r="C88" t="s">
        <v>38</v>
      </c>
      <c r="D88" t="s">
        <v>15</v>
      </c>
      <c r="E88" t="s">
        <v>23</v>
      </c>
      <c r="F88" t="s">
        <v>24</v>
      </c>
      <c r="G88">
        <v>4</v>
      </c>
      <c r="H88">
        <v>375</v>
      </c>
      <c r="I88">
        <v>1500</v>
      </c>
      <c r="J88">
        <v>1068.6300000000001</v>
      </c>
      <c r="K88">
        <v>431.37</v>
      </c>
      <c r="L88" t="s">
        <v>18</v>
      </c>
      <c r="M88" t="s">
        <v>30</v>
      </c>
      <c r="N88" t="str">
        <f>TEXT(SalesData[[#This Row],[Order Date]],"MMM-YYYY")</f>
        <v>Jul-2024</v>
      </c>
      <c r="O88" s="2">
        <f>SalesData[[#This Row],[Profit]]/SalesData[[#This Row],[Sales]]</f>
        <v>0.28758</v>
      </c>
    </row>
    <row r="89" spans="1:15" x14ac:dyDescent="0.25">
      <c r="A89" t="s">
        <v>126</v>
      </c>
      <c r="B89" s="1">
        <v>45452</v>
      </c>
      <c r="C89" t="s">
        <v>21</v>
      </c>
      <c r="D89" t="s">
        <v>42</v>
      </c>
      <c r="E89" t="s">
        <v>16</v>
      </c>
      <c r="F89" t="s">
        <v>64</v>
      </c>
      <c r="G89">
        <v>1</v>
      </c>
      <c r="H89">
        <v>613</v>
      </c>
      <c r="I89">
        <v>613</v>
      </c>
      <c r="J89">
        <v>443.31</v>
      </c>
      <c r="K89">
        <v>169.69</v>
      </c>
      <c r="L89" t="s">
        <v>25</v>
      </c>
      <c r="M89" t="s">
        <v>44</v>
      </c>
      <c r="N89" t="str">
        <f>TEXT(SalesData[[#This Row],[Order Date]],"MMM-YYYY")</f>
        <v>Jun-2024</v>
      </c>
      <c r="O89" s="2">
        <f>SalesData[[#This Row],[Profit]]/SalesData[[#This Row],[Sales]]</f>
        <v>0.27681892332789559</v>
      </c>
    </row>
    <row r="90" spans="1:15" x14ac:dyDescent="0.25">
      <c r="A90" t="s">
        <v>127</v>
      </c>
      <c r="B90" s="1">
        <v>45403</v>
      </c>
      <c r="C90" t="s">
        <v>41</v>
      </c>
      <c r="D90" t="s">
        <v>28</v>
      </c>
      <c r="E90" t="s">
        <v>23</v>
      </c>
      <c r="F90" t="s">
        <v>24</v>
      </c>
      <c r="G90">
        <v>3</v>
      </c>
      <c r="H90">
        <v>537</v>
      </c>
      <c r="I90">
        <v>1611</v>
      </c>
      <c r="J90">
        <v>1098.8399999999999</v>
      </c>
      <c r="K90">
        <v>512.16</v>
      </c>
      <c r="L90" t="s">
        <v>18</v>
      </c>
      <c r="M90" t="s">
        <v>30</v>
      </c>
      <c r="N90" t="str">
        <f>TEXT(SalesData[[#This Row],[Order Date]],"MMM-YYYY")</f>
        <v>Apr-2024</v>
      </c>
      <c r="O90" s="2">
        <f>SalesData[[#This Row],[Profit]]/SalesData[[#This Row],[Sales]]</f>
        <v>0.31791433891992549</v>
      </c>
    </row>
    <row r="91" spans="1:15" x14ac:dyDescent="0.25">
      <c r="A91" t="s">
        <v>128</v>
      </c>
      <c r="B91" s="1">
        <v>45432</v>
      </c>
      <c r="C91" t="s">
        <v>21</v>
      </c>
      <c r="D91" t="s">
        <v>15</v>
      </c>
      <c r="E91" t="s">
        <v>34</v>
      </c>
      <c r="F91" t="s">
        <v>53</v>
      </c>
      <c r="G91">
        <v>2</v>
      </c>
      <c r="H91">
        <v>783</v>
      </c>
      <c r="I91">
        <v>1566</v>
      </c>
      <c r="J91">
        <v>989.09</v>
      </c>
      <c r="K91">
        <v>576.91</v>
      </c>
      <c r="L91" t="s">
        <v>25</v>
      </c>
      <c r="M91" t="s">
        <v>19</v>
      </c>
      <c r="N91" t="str">
        <f>TEXT(SalesData[[#This Row],[Order Date]],"MMM-YYYY")</f>
        <v>May-2024</v>
      </c>
      <c r="O91" s="2">
        <f>SalesData[[#This Row],[Profit]]/SalesData[[#This Row],[Sales]]</f>
        <v>0.36839719029374202</v>
      </c>
    </row>
    <row r="92" spans="1:15" x14ac:dyDescent="0.25">
      <c r="A92" t="s">
        <v>129</v>
      </c>
      <c r="B92" s="1">
        <v>45473</v>
      </c>
      <c r="C92" t="s">
        <v>14</v>
      </c>
      <c r="D92" t="s">
        <v>22</v>
      </c>
      <c r="E92" t="s">
        <v>23</v>
      </c>
      <c r="F92" t="s">
        <v>43</v>
      </c>
      <c r="G92">
        <v>8</v>
      </c>
      <c r="H92">
        <v>302</v>
      </c>
      <c r="I92">
        <v>2416</v>
      </c>
      <c r="J92">
        <v>1378.98</v>
      </c>
      <c r="K92">
        <v>1037.02</v>
      </c>
      <c r="L92" t="s">
        <v>18</v>
      </c>
      <c r="M92" t="s">
        <v>44</v>
      </c>
      <c r="N92" t="str">
        <f>TEXT(SalesData[[#This Row],[Order Date]],"MMM-YYYY")</f>
        <v>Jun-2024</v>
      </c>
      <c r="O92" s="2">
        <f>SalesData[[#This Row],[Profit]]/SalesData[[#This Row],[Sales]]</f>
        <v>0.42923013245033109</v>
      </c>
    </row>
    <row r="93" spans="1:15" x14ac:dyDescent="0.25">
      <c r="A93" t="s">
        <v>130</v>
      </c>
      <c r="B93" s="1">
        <v>45511</v>
      </c>
      <c r="C93" t="s">
        <v>21</v>
      </c>
      <c r="D93" t="s">
        <v>28</v>
      </c>
      <c r="E93" t="s">
        <v>23</v>
      </c>
      <c r="F93" t="s">
        <v>43</v>
      </c>
      <c r="G93">
        <v>3</v>
      </c>
      <c r="H93">
        <v>594</v>
      </c>
      <c r="I93">
        <v>1782</v>
      </c>
      <c r="J93">
        <v>1202.06</v>
      </c>
      <c r="K93">
        <v>579.94000000000005</v>
      </c>
      <c r="L93" t="s">
        <v>18</v>
      </c>
      <c r="M93" t="s">
        <v>26</v>
      </c>
      <c r="N93" t="str">
        <f>TEXT(SalesData[[#This Row],[Order Date]],"MMM-YYYY")</f>
        <v>Aug-2024</v>
      </c>
      <c r="O93" s="2">
        <f>SalesData[[#This Row],[Profit]]/SalesData[[#This Row],[Sales]]</f>
        <v>0.32544332210998883</v>
      </c>
    </row>
    <row r="94" spans="1:15" x14ac:dyDescent="0.25">
      <c r="A94" t="s">
        <v>131</v>
      </c>
      <c r="B94" s="1">
        <v>45549</v>
      </c>
      <c r="C94" t="s">
        <v>41</v>
      </c>
      <c r="D94" t="s">
        <v>42</v>
      </c>
      <c r="E94" t="s">
        <v>16</v>
      </c>
      <c r="F94" t="s">
        <v>29</v>
      </c>
      <c r="G94">
        <v>5</v>
      </c>
      <c r="H94">
        <v>165</v>
      </c>
      <c r="I94">
        <v>825</v>
      </c>
      <c r="J94">
        <v>558.65</v>
      </c>
      <c r="K94">
        <v>266.35000000000002</v>
      </c>
      <c r="L94" t="s">
        <v>25</v>
      </c>
      <c r="M94" t="s">
        <v>44</v>
      </c>
      <c r="N94" t="str">
        <f>TEXT(SalesData[[#This Row],[Order Date]],"MMM-YYYY")</f>
        <v>Sep-2024</v>
      </c>
      <c r="O94" s="2">
        <f>SalesData[[#This Row],[Profit]]/SalesData[[#This Row],[Sales]]</f>
        <v>0.32284848484848488</v>
      </c>
    </row>
    <row r="95" spans="1:15" x14ac:dyDescent="0.25">
      <c r="A95" t="s">
        <v>132</v>
      </c>
      <c r="B95" s="1">
        <v>45453</v>
      </c>
      <c r="C95" t="s">
        <v>21</v>
      </c>
      <c r="D95" t="s">
        <v>15</v>
      </c>
      <c r="E95" t="s">
        <v>34</v>
      </c>
      <c r="F95" t="s">
        <v>47</v>
      </c>
      <c r="G95">
        <v>2</v>
      </c>
      <c r="H95">
        <v>616</v>
      </c>
      <c r="I95">
        <v>1232</v>
      </c>
      <c r="J95">
        <v>670.82</v>
      </c>
      <c r="K95">
        <v>561.17999999999995</v>
      </c>
      <c r="L95" t="s">
        <v>18</v>
      </c>
      <c r="M95" t="s">
        <v>26</v>
      </c>
      <c r="N95" t="str">
        <f>TEXT(SalesData[[#This Row],[Order Date]],"MMM-YYYY")</f>
        <v>Jun-2024</v>
      </c>
      <c r="O95" s="2">
        <f>SalesData[[#This Row],[Profit]]/SalesData[[#This Row],[Sales]]</f>
        <v>0.45550324675324672</v>
      </c>
    </row>
    <row r="96" spans="1:15" x14ac:dyDescent="0.25">
      <c r="A96" t="s">
        <v>133</v>
      </c>
      <c r="B96" s="1">
        <v>45335</v>
      </c>
      <c r="C96" t="s">
        <v>21</v>
      </c>
      <c r="D96" t="s">
        <v>28</v>
      </c>
      <c r="E96" t="s">
        <v>34</v>
      </c>
      <c r="F96" t="s">
        <v>35</v>
      </c>
      <c r="G96">
        <v>3</v>
      </c>
      <c r="H96">
        <v>590</v>
      </c>
      <c r="I96">
        <v>1770</v>
      </c>
      <c r="J96">
        <v>1324.95</v>
      </c>
      <c r="K96">
        <v>445.05</v>
      </c>
      <c r="L96" t="s">
        <v>18</v>
      </c>
      <c r="M96" t="s">
        <v>19</v>
      </c>
      <c r="N96" t="str">
        <f>TEXT(SalesData[[#This Row],[Order Date]],"MMM-YYYY")</f>
        <v>Feb-2024</v>
      </c>
      <c r="O96" s="2">
        <f>SalesData[[#This Row],[Profit]]/SalesData[[#This Row],[Sales]]</f>
        <v>0.2514406779661017</v>
      </c>
    </row>
    <row r="97" spans="1:15" x14ac:dyDescent="0.25">
      <c r="A97" t="s">
        <v>134</v>
      </c>
      <c r="B97" s="1">
        <v>45586</v>
      </c>
      <c r="C97" t="s">
        <v>14</v>
      </c>
      <c r="D97" t="s">
        <v>22</v>
      </c>
      <c r="E97" t="s">
        <v>34</v>
      </c>
      <c r="F97" t="s">
        <v>53</v>
      </c>
      <c r="G97">
        <v>4</v>
      </c>
      <c r="H97">
        <v>194</v>
      </c>
      <c r="I97">
        <v>776</v>
      </c>
      <c r="J97">
        <v>422.95</v>
      </c>
      <c r="K97">
        <v>353.05</v>
      </c>
      <c r="L97" t="s">
        <v>18</v>
      </c>
      <c r="M97" t="s">
        <v>44</v>
      </c>
      <c r="N97" t="str">
        <f>TEXT(SalesData[[#This Row],[Order Date]],"MMM-YYYY")</f>
        <v>Oct-2024</v>
      </c>
      <c r="O97" s="2">
        <f>SalesData[[#This Row],[Profit]]/SalesData[[#This Row],[Sales]]</f>
        <v>0.45496134020618556</v>
      </c>
    </row>
    <row r="98" spans="1:15" x14ac:dyDescent="0.25">
      <c r="A98" t="s">
        <v>135</v>
      </c>
      <c r="B98" s="1">
        <v>45546</v>
      </c>
      <c r="C98" t="s">
        <v>38</v>
      </c>
      <c r="D98" t="s">
        <v>28</v>
      </c>
      <c r="E98" t="s">
        <v>23</v>
      </c>
      <c r="F98" t="s">
        <v>24</v>
      </c>
      <c r="G98">
        <v>7</v>
      </c>
      <c r="H98">
        <v>162</v>
      </c>
      <c r="I98">
        <v>1134</v>
      </c>
      <c r="J98">
        <v>730.61</v>
      </c>
      <c r="K98">
        <v>403.39</v>
      </c>
      <c r="L98" t="s">
        <v>18</v>
      </c>
      <c r="M98" t="s">
        <v>44</v>
      </c>
      <c r="N98" t="str">
        <f>TEXT(SalesData[[#This Row],[Order Date]],"MMM-YYYY")</f>
        <v>Sep-2024</v>
      </c>
      <c r="O98" s="2">
        <f>SalesData[[#This Row],[Profit]]/SalesData[[#This Row],[Sales]]</f>
        <v>0.35572310405643737</v>
      </c>
    </row>
    <row r="99" spans="1:15" x14ac:dyDescent="0.25">
      <c r="A99" t="s">
        <v>136</v>
      </c>
      <c r="B99" s="1">
        <v>45358</v>
      </c>
      <c r="C99" t="s">
        <v>38</v>
      </c>
      <c r="D99" t="s">
        <v>15</v>
      </c>
      <c r="E99" t="s">
        <v>16</v>
      </c>
      <c r="F99" t="s">
        <v>17</v>
      </c>
      <c r="G99">
        <v>8</v>
      </c>
      <c r="H99">
        <v>509</v>
      </c>
      <c r="I99">
        <v>4072</v>
      </c>
      <c r="J99">
        <v>3193.56</v>
      </c>
      <c r="K99">
        <v>878.44</v>
      </c>
      <c r="L99" t="s">
        <v>25</v>
      </c>
      <c r="M99" t="s">
        <v>30</v>
      </c>
      <c r="N99" t="str">
        <f>TEXT(SalesData[[#This Row],[Order Date]],"MMM-YYYY")</f>
        <v>Mar-2024</v>
      </c>
      <c r="O99" s="2">
        <f>SalesData[[#This Row],[Profit]]/SalesData[[#This Row],[Sales]]</f>
        <v>0.2157269155206287</v>
      </c>
    </row>
    <row r="100" spans="1:15" x14ac:dyDescent="0.25">
      <c r="A100" t="s">
        <v>137</v>
      </c>
      <c r="B100" s="1">
        <v>45554</v>
      </c>
      <c r="C100" t="s">
        <v>41</v>
      </c>
      <c r="D100" t="s">
        <v>28</v>
      </c>
      <c r="E100" t="s">
        <v>16</v>
      </c>
      <c r="F100" t="s">
        <v>17</v>
      </c>
      <c r="G100">
        <v>6</v>
      </c>
      <c r="H100">
        <v>332</v>
      </c>
      <c r="I100">
        <v>1992</v>
      </c>
      <c r="J100">
        <v>1440.89</v>
      </c>
      <c r="K100">
        <v>551.11</v>
      </c>
      <c r="L100" t="s">
        <v>25</v>
      </c>
      <c r="M100" t="s">
        <v>26</v>
      </c>
      <c r="N100" t="str">
        <f>TEXT(SalesData[[#This Row],[Order Date]],"MMM-YYYY")</f>
        <v>Sep-2024</v>
      </c>
      <c r="O100" s="2">
        <f>SalesData[[#This Row],[Profit]]/SalesData[[#This Row],[Sales]]</f>
        <v>0.2766616465863454</v>
      </c>
    </row>
    <row r="101" spans="1:15" x14ac:dyDescent="0.25">
      <c r="A101" t="s">
        <v>138</v>
      </c>
      <c r="B101" s="1">
        <v>45431</v>
      </c>
      <c r="C101" t="s">
        <v>14</v>
      </c>
      <c r="D101" t="s">
        <v>28</v>
      </c>
      <c r="E101" t="s">
        <v>23</v>
      </c>
      <c r="F101" t="s">
        <v>24</v>
      </c>
      <c r="G101">
        <v>6</v>
      </c>
      <c r="H101">
        <v>708</v>
      </c>
      <c r="I101">
        <v>4248</v>
      </c>
      <c r="J101">
        <v>3352.67</v>
      </c>
      <c r="K101">
        <v>895.33</v>
      </c>
      <c r="L101" t="s">
        <v>18</v>
      </c>
      <c r="M101" t="s">
        <v>30</v>
      </c>
      <c r="N101" t="str">
        <f>TEXT(SalesData[[#This Row],[Order Date]],"MMM-YYYY")</f>
        <v>May-2024</v>
      </c>
      <c r="O101" s="2">
        <f>SalesData[[#This Row],[Profit]]/SalesData[[#This Row],[Sales]]</f>
        <v>0.21076506591337102</v>
      </c>
    </row>
    <row r="102" spans="1:15" x14ac:dyDescent="0.25">
      <c r="A102" t="s">
        <v>139</v>
      </c>
      <c r="B102" s="1">
        <v>45452</v>
      </c>
      <c r="C102" t="s">
        <v>14</v>
      </c>
      <c r="D102" t="s">
        <v>42</v>
      </c>
      <c r="E102" t="s">
        <v>23</v>
      </c>
      <c r="F102" t="s">
        <v>24</v>
      </c>
      <c r="G102">
        <v>9</v>
      </c>
      <c r="H102">
        <v>574</v>
      </c>
      <c r="I102">
        <v>5166</v>
      </c>
      <c r="J102">
        <v>3187.28</v>
      </c>
      <c r="K102">
        <v>1978.72</v>
      </c>
      <c r="L102" t="s">
        <v>18</v>
      </c>
      <c r="M102" t="s">
        <v>26</v>
      </c>
      <c r="N102" t="str">
        <f>TEXT(SalesData[[#This Row],[Order Date]],"MMM-YYYY")</f>
        <v>Jun-2024</v>
      </c>
      <c r="O102" s="2">
        <f>SalesData[[#This Row],[Profit]]/SalesData[[#This Row],[Sales]]</f>
        <v>0.38302748741773135</v>
      </c>
    </row>
    <row r="103" spans="1:15" x14ac:dyDescent="0.25">
      <c r="A103" t="s">
        <v>140</v>
      </c>
      <c r="B103" s="1">
        <v>45576</v>
      </c>
      <c r="C103" t="s">
        <v>38</v>
      </c>
      <c r="D103" t="s">
        <v>22</v>
      </c>
      <c r="E103" t="s">
        <v>16</v>
      </c>
      <c r="F103" t="s">
        <v>29</v>
      </c>
      <c r="G103">
        <v>6</v>
      </c>
      <c r="H103">
        <v>352</v>
      </c>
      <c r="I103">
        <v>2112</v>
      </c>
      <c r="J103">
        <v>1546.05</v>
      </c>
      <c r="K103">
        <v>565.95000000000005</v>
      </c>
      <c r="L103" t="s">
        <v>25</v>
      </c>
      <c r="M103" t="s">
        <v>44</v>
      </c>
      <c r="N103" t="str">
        <f>TEXT(SalesData[[#This Row],[Order Date]],"MMM-YYYY")</f>
        <v>Oct-2024</v>
      </c>
      <c r="O103" s="2">
        <f>SalesData[[#This Row],[Profit]]/SalesData[[#This Row],[Sales]]</f>
        <v>0.26796875000000003</v>
      </c>
    </row>
    <row r="104" spans="1:15" x14ac:dyDescent="0.25">
      <c r="A104" t="s">
        <v>141</v>
      </c>
      <c r="B104" s="1">
        <v>45407</v>
      </c>
      <c r="C104" t="s">
        <v>14</v>
      </c>
      <c r="D104" t="s">
        <v>22</v>
      </c>
      <c r="E104" t="s">
        <v>16</v>
      </c>
      <c r="F104" t="s">
        <v>17</v>
      </c>
      <c r="G104">
        <v>8</v>
      </c>
      <c r="H104">
        <v>682</v>
      </c>
      <c r="I104">
        <v>5456</v>
      </c>
      <c r="J104">
        <v>2857.89</v>
      </c>
      <c r="K104">
        <v>2598.11</v>
      </c>
      <c r="L104" t="s">
        <v>25</v>
      </c>
      <c r="M104" t="s">
        <v>19</v>
      </c>
      <c r="N104" t="str">
        <f>TEXT(SalesData[[#This Row],[Order Date]],"MMM-YYYY")</f>
        <v>Apr-2024</v>
      </c>
      <c r="O104" s="2">
        <f>SalesData[[#This Row],[Profit]]/SalesData[[#This Row],[Sales]]</f>
        <v>0.47619318181818182</v>
      </c>
    </row>
    <row r="105" spans="1:15" x14ac:dyDescent="0.25">
      <c r="A105" t="s">
        <v>142</v>
      </c>
      <c r="B105" s="1">
        <v>45480</v>
      </c>
      <c r="C105" t="s">
        <v>14</v>
      </c>
      <c r="D105" t="s">
        <v>28</v>
      </c>
      <c r="E105" t="s">
        <v>34</v>
      </c>
      <c r="F105" t="s">
        <v>53</v>
      </c>
      <c r="G105">
        <v>5</v>
      </c>
      <c r="H105">
        <v>483</v>
      </c>
      <c r="I105">
        <v>2415</v>
      </c>
      <c r="J105">
        <v>1412</v>
      </c>
      <c r="K105">
        <v>1003</v>
      </c>
      <c r="L105" t="s">
        <v>18</v>
      </c>
      <c r="M105" t="s">
        <v>30</v>
      </c>
      <c r="N105" t="str">
        <f>TEXT(SalesData[[#This Row],[Order Date]],"MMM-YYYY")</f>
        <v>Jul-2024</v>
      </c>
      <c r="O105" s="2">
        <f>SalesData[[#This Row],[Profit]]/SalesData[[#This Row],[Sales]]</f>
        <v>0.41532091097308488</v>
      </c>
    </row>
    <row r="106" spans="1:15" x14ac:dyDescent="0.25">
      <c r="A106" t="s">
        <v>143</v>
      </c>
      <c r="B106" s="1">
        <v>45328</v>
      </c>
      <c r="C106" t="s">
        <v>41</v>
      </c>
      <c r="D106" t="s">
        <v>15</v>
      </c>
      <c r="E106" t="s">
        <v>16</v>
      </c>
      <c r="F106" t="s">
        <v>29</v>
      </c>
      <c r="G106">
        <v>3</v>
      </c>
      <c r="H106">
        <v>751</v>
      </c>
      <c r="I106">
        <v>2253</v>
      </c>
      <c r="J106">
        <v>1246.31</v>
      </c>
      <c r="K106">
        <v>1006.69</v>
      </c>
      <c r="L106" t="s">
        <v>18</v>
      </c>
      <c r="M106" t="s">
        <v>26</v>
      </c>
      <c r="N106" t="str">
        <f>TEXT(SalesData[[#This Row],[Order Date]],"MMM-YYYY")</f>
        <v>Feb-2024</v>
      </c>
      <c r="O106" s="2">
        <f>SalesData[[#This Row],[Profit]]/SalesData[[#This Row],[Sales]]</f>
        <v>0.44682201509098979</v>
      </c>
    </row>
    <row r="107" spans="1:15" x14ac:dyDescent="0.25">
      <c r="A107" t="s">
        <v>144</v>
      </c>
      <c r="B107" s="1">
        <v>45447</v>
      </c>
      <c r="C107" t="s">
        <v>38</v>
      </c>
      <c r="D107" t="s">
        <v>28</v>
      </c>
      <c r="E107" t="s">
        <v>16</v>
      </c>
      <c r="F107" t="s">
        <v>64</v>
      </c>
      <c r="G107">
        <v>10</v>
      </c>
      <c r="H107">
        <v>164</v>
      </c>
      <c r="I107">
        <v>1640</v>
      </c>
      <c r="J107">
        <v>982.17</v>
      </c>
      <c r="K107">
        <v>657.83</v>
      </c>
      <c r="L107" t="s">
        <v>25</v>
      </c>
      <c r="M107" t="s">
        <v>19</v>
      </c>
      <c r="N107" t="str">
        <f>TEXT(SalesData[[#This Row],[Order Date]],"MMM-YYYY")</f>
        <v>Jun-2024</v>
      </c>
      <c r="O107" s="2">
        <f>SalesData[[#This Row],[Profit]]/SalesData[[#This Row],[Sales]]</f>
        <v>0.40111585365853664</v>
      </c>
    </row>
    <row r="108" spans="1:15" x14ac:dyDescent="0.25">
      <c r="A108" t="s">
        <v>145</v>
      </c>
      <c r="B108" s="1">
        <v>45588</v>
      </c>
      <c r="C108" t="s">
        <v>21</v>
      </c>
      <c r="D108" t="s">
        <v>42</v>
      </c>
      <c r="E108" t="s">
        <v>34</v>
      </c>
      <c r="F108" t="s">
        <v>53</v>
      </c>
      <c r="G108">
        <v>8</v>
      </c>
      <c r="H108">
        <v>831</v>
      </c>
      <c r="I108">
        <v>6648</v>
      </c>
      <c r="J108">
        <v>4974.46</v>
      </c>
      <c r="K108">
        <v>1673.54</v>
      </c>
      <c r="L108" t="s">
        <v>25</v>
      </c>
      <c r="M108" t="s">
        <v>44</v>
      </c>
      <c r="N108" t="str">
        <f>TEXT(SalesData[[#This Row],[Order Date]],"MMM-YYYY")</f>
        <v>Oct-2024</v>
      </c>
      <c r="O108" s="2">
        <f>SalesData[[#This Row],[Profit]]/SalesData[[#This Row],[Sales]]</f>
        <v>0.25173586040914558</v>
      </c>
    </row>
    <row r="109" spans="1:15" x14ac:dyDescent="0.25">
      <c r="A109" t="s">
        <v>146</v>
      </c>
      <c r="B109" s="1">
        <v>45498</v>
      </c>
      <c r="C109" t="s">
        <v>41</v>
      </c>
      <c r="D109" t="s">
        <v>42</v>
      </c>
      <c r="E109" t="s">
        <v>16</v>
      </c>
      <c r="F109" t="s">
        <v>29</v>
      </c>
      <c r="G109">
        <v>4</v>
      </c>
      <c r="H109">
        <v>407</v>
      </c>
      <c r="I109">
        <v>1628</v>
      </c>
      <c r="J109">
        <v>980.98</v>
      </c>
      <c r="K109">
        <v>647.02</v>
      </c>
      <c r="L109" t="s">
        <v>18</v>
      </c>
      <c r="M109" t="s">
        <v>19</v>
      </c>
      <c r="N109" t="str">
        <f>TEXT(SalesData[[#This Row],[Order Date]],"MMM-YYYY")</f>
        <v>Jul-2024</v>
      </c>
      <c r="O109" s="2">
        <f>SalesData[[#This Row],[Profit]]/SalesData[[#This Row],[Sales]]</f>
        <v>0.39743243243243243</v>
      </c>
    </row>
    <row r="110" spans="1:15" x14ac:dyDescent="0.25">
      <c r="A110" t="s">
        <v>147</v>
      </c>
      <c r="B110" s="1">
        <v>45349</v>
      </c>
      <c r="C110" t="s">
        <v>41</v>
      </c>
      <c r="D110" t="s">
        <v>28</v>
      </c>
      <c r="E110" t="s">
        <v>34</v>
      </c>
      <c r="F110" t="s">
        <v>35</v>
      </c>
      <c r="G110">
        <v>6</v>
      </c>
      <c r="H110">
        <v>866</v>
      </c>
      <c r="I110">
        <v>5196</v>
      </c>
      <c r="J110">
        <v>3394.08</v>
      </c>
      <c r="K110">
        <v>1801.92</v>
      </c>
      <c r="L110" t="s">
        <v>25</v>
      </c>
      <c r="M110" t="s">
        <v>44</v>
      </c>
      <c r="N110" t="str">
        <f>TEXT(SalesData[[#This Row],[Order Date]],"MMM-YYYY")</f>
        <v>Feb-2024</v>
      </c>
      <c r="O110" s="2">
        <f>SalesData[[#This Row],[Profit]]/SalesData[[#This Row],[Sales]]</f>
        <v>0.34678983833718247</v>
      </c>
    </row>
    <row r="111" spans="1:15" x14ac:dyDescent="0.25">
      <c r="A111" t="s">
        <v>148</v>
      </c>
      <c r="B111" s="1">
        <v>45392</v>
      </c>
      <c r="C111" t="s">
        <v>21</v>
      </c>
      <c r="D111" t="s">
        <v>28</v>
      </c>
      <c r="E111" t="s">
        <v>23</v>
      </c>
      <c r="F111" t="s">
        <v>43</v>
      </c>
      <c r="G111">
        <v>7</v>
      </c>
      <c r="H111">
        <v>768</v>
      </c>
      <c r="I111">
        <v>5376</v>
      </c>
      <c r="J111">
        <v>3327.38</v>
      </c>
      <c r="K111">
        <v>2048.62</v>
      </c>
      <c r="L111" t="s">
        <v>25</v>
      </c>
      <c r="M111" t="s">
        <v>26</v>
      </c>
      <c r="N111" t="str">
        <f>TEXT(SalesData[[#This Row],[Order Date]],"MMM-YYYY")</f>
        <v>Apr-2024</v>
      </c>
      <c r="O111" s="2">
        <f>SalesData[[#This Row],[Profit]]/SalesData[[#This Row],[Sales]]</f>
        <v>0.38106770833333331</v>
      </c>
    </row>
    <row r="112" spans="1:15" x14ac:dyDescent="0.25">
      <c r="A112" t="s">
        <v>149</v>
      </c>
      <c r="B112" s="1">
        <v>45517</v>
      </c>
      <c r="C112" t="s">
        <v>41</v>
      </c>
      <c r="D112" t="s">
        <v>15</v>
      </c>
      <c r="E112" t="s">
        <v>16</v>
      </c>
      <c r="F112" t="s">
        <v>29</v>
      </c>
      <c r="G112">
        <v>6</v>
      </c>
      <c r="H112">
        <v>350</v>
      </c>
      <c r="I112">
        <v>2100</v>
      </c>
      <c r="J112">
        <v>1636.08</v>
      </c>
      <c r="K112">
        <v>463.92</v>
      </c>
      <c r="L112" t="s">
        <v>18</v>
      </c>
      <c r="M112" t="s">
        <v>44</v>
      </c>
      <c r="N112" t="str">
        <f>TEXT(SalesData[[#This Row],[Order Date]],"MMM-YYYY")</f>
        <v>Aug-2024</v>
      </c>
      <c r="O112" s="2">
        <f>SalesData[[#This Row],[Profit]]/SalesData[[#This Row],[Sales]]</f>
        <v>0.22091428571428573</v>
      </c>
    </row>
    <row r="113" spans="1:15" x14ac:dyDescent="0.25">
      <c r="A113" t="s">
        <v>150</v>
      </c>
      <c r="B113" s="1">
        <v>45504</v>
      </c>
      <c r="C113" t="s">
        <v>21</v>
      </c>
      <c r="D113" t="s">
        <v>42</v>
      </c>
      <c r="E113" t="s">
        <v>16</v>
      </c>
      <c r="F113" t="s">
        <v>29</v>
      </c>
      <c r="G113">
        <v>4</v>
      </c>
      <c r="H113">
        <v>386</v>
      </c>
      <c r="I113">
        <v>1544</v>
      </c>
      <c r="J113">
        <v>1023.7</v>
      </c>
      <c r="K113">
        <v>520.29999999999995</v>
      </c>
      <c r="L113" t="s">
        <v>18</v>
      </c>
      <c r="M113" t="s">
        <v>44</v>
      </c>
      <c r="N113" t="str">
        <f>TEXT(SalesData[[#This Row],[Order Date]],"MMM-YYYY")</f>
        <v>Jul-2024</v>
      </c>
      <c r="O113" s="2">
        <f>SalesData[[#This Row],[Profit]]/SalesData[[#This Row],[Sales]]</f>
        <v>0.33698186528497409</v>
      </c>
    </row>
    <row r="114" spans="1:15" x14ac:dyDescent="0.25">
      <c r="A114" t="s">
        <v>151</v>
      </c>
      <c r="B114" s="1">
        <v>45372</v>
      </c>
      <c r="C114" t="s">
        <v>38</v>
      </c>
      <c r="D114" t="s">
        <v>28</v>
      </c>
      <c r="E114" t="s">
        <v>23</v>
      </c>
      <c r="F114" t="s">
        <v>24</v>
      </c>
      <c r="G114">
        <v>1</v>
      </c>
      <c r="H114">
        <v>43</v>
      </c>
      <c r="I114">
        <v>43</v>
      </c>
      <c r="J114">
        <v>32.630000000000003</v>
      </c>
      <c r="K114">
        <v>10.37</v>
      </c>
      <c r="L114" t="s">
        <v>25</v>
      </c>
      <c r="M114" t="s">
        <v>44</v>
      </c>
      <c r="N114" t="str">
        <f>TEXT(SalesData[[#This Row],[Order Date]],"MMM-YYYY")</f>
        <v>Mar-2024</v>
      </c>
      <c r="O114" s="2">
        <f>SalesData[[#This Row],[Profit]]/SalesData[[#This Row],[Sales]]</f>
        <v>0.24116279069767441</v>
      </c>
    </row>
    <row r="115" spans="1:15" x14ac:dyDescent="0.25">
      <c r="A115" t="s">
        <v>152</v>
      </c>
      <c r="B115" s="1">
        <v>45554</v>
      </c>
      <c r="C115" t="s">
        <v>14</v>
      </c>
      <c r="D115" t="s">
        <v>28</v>
      </c>
      <c r="E115" t="s">
        <v>23</v>
      </c>
      <c r="F115" t="s">
        <v>43</v>
      </c>
      <c r="G115">
        <v>10</v>
      </c>
      <c r="H115">
        <v>802</v>
      </c>
      <c r="I115">
        <v>8020</v>
      </c>
      <c r="J115">
        <v>4789.6400000000003</v>
      </c>
      <c r="K115">
        <v>3230.36</v>
      </c>
      <c r="L115" t="s">
        <v>25</v>
      </c>
      <c r="M115" t="s">
        <v>19</v>
      </c>
      <c r="N115" t="str">
        <f>TEXT(SalesData[[#This Row],[Order Date]],"MMM-YYYY")</f>
        <v>Sep-2024</v>
      </c>
      <c r="O115" s="2">
        <f>SalesData[[#This Row],[Profit]]/SalesData[[#This Row],[Sales]]</f>
        <v>0.40278802992518703</v>
      </c>
    </row>
    <row r="116" spans="1:15" x14ac:dyDescent="0.25">
      <c r="A116" t="s">
        <v>153</v>
      </c>
      <c r="B116" s="1">
        <v>45538</v>
      </c>
      <c r="C116" t="s">
        <v>21</v>
      </c>
      <c r="D116" t="s">
        <v>15</v>
      </c>
      <c r="E116" t="s">
        <v>34</v>
      </c>
      <c r="F116" t="s">
        <v>35</v>
      </c>
      <c r="G116">
        <v>8</v>
      </c>
      <c r="H116">
        <v>358</v>
      </c>
      <c r="I116">
        <v>2864</v>
      </c>
      <c r="J116">
        <v>1699.74</v>
      </c>
      <c r="K116">
        <v>1164.26</v>
      </c>
      <c r="L116" t="s">
        <v>25</v>
      </c>
      <c r="M116" t="s">
        <v>26</v>
      </c>
      <c r="N116" t="str">
        <f>TEXT(SalesData[[#This Row],[Order Date]],"MMM-YYYY")</f>
        <v>Sep-2024</v>
      </c>
      <c r="O116" s="2">
        <f>SalesData[[#This Row],[Profit]]/SalesData[[#This Row],[Sales]]</f>
        <v>0.40651536312849162</v>
      </c>
    </row>
    <row r="117" spans="1:15" x14ac:dyDescent="0.25">
      <c r="A117" t="s">
        <v>154</v>
      </c>
      <c r="B117" s="1">
        <v>45515</v>
      </c>
      <c r="C117" t="s">
        <v>41</v>
      </c>
      <c r="D117" t="s">
        <v>22</v>
      </c>
      <c r="E117" t="s">
        <v>16</v>
      </c>
      <c r="F117" t="s">
        <v>64</v>
      </c>
      <c r="G117">
        <v>1</v>
      </c>
      <c r="H117">
        <v>677</v>
      </c>
      <c r="I117">
        <v>677</v>
      </c>
      <c r="J117">
        <v>513.29999999999995</v>
      </c>
      <c r="K117">
        <v>163.69999999999999</v>
      </c>
      <c r="L117" t="s">
        <v>25</v>
      </c>
      <c r="M117" t="s">
        <v>26</v>
      </c>
      <c r="N117" t="str">
        <f>TEXT(SalesData[[#This Row],[Order Date]],"MMM-YYYY")</f>
        <v>Aug-2024</v>
      </c>
      <c r="O117" s="2">
        <f>SalesData[[#This Row],[Profit]]/SalesData[[#This Row],[Sales]]</f>
        <v>0.24180206794682421</v>
      </c>
    </row>
    <row r="118" spans="1:15" x14ac:dyDescent="0.25">
      <c r="A118" t="s">
        <v>155</v>
      </c>
      <c r="B118" s="1">
        <v>45356</v>
      </c>
      <c r="C118" t="s">
        <v>21</v>
      </c>
      <c r="D118" t="s">
        <v>22</v>
      </c>
      <c r="E118" t="s">
        <v>23</v>
      </c>
      <c r="F118" t="s">
        <v>24</v>
      </c>
      <c r="G118">
        <v>10</v>
      </c>
      <c r="H118">
        <v>458</v>
      </c>
      <c r="I118">
        <v>4580</v>
      </c>
      <c r="J118">
        <v>2350.02</v>
      </c>
      <c r="K118">
        <v>2229.98</v>
      </c>
      <c r="L118" t="s">
        <v>18</v>
      </c>
      <c r="M118" t="s">
        <v>19</v>
      </c>
      <c r="N118" t="str">
        <f>TEXT(SalesData[[#This Row],[Order Date]],"MMM-YYYY")</f>
        <v>Mar-2024</v>
      </c>
      <c r="O118" s="2">
        <f>SalesData[[#This Row],[Profit]]/SalesData[[#This Row],[Sales]]</f>
        <v>0.48689519650655022</v>
      </c>
    </row>
    <row r="119" spans="1:15" x14ac:dyDescent="0.25">
      <c r="A119" t="s">
        <v>156</v>
      </c>
      <c r="B119" s="1">
        <v>45427</v>
      </c>
      <c r="C119" t="s">
        <v>41</v>
      </c>
      <c r="D119" t="s">
        <v>22</v>
      </c>
      <c r="E119" t="s">
        <v>34</v>
      </c>
      <c r="F119" t="s">
        <v>47</v>
      </c>
      <c r="G119">
        <v>4</v>
      </c>
      <c r="H119">
        <v>394</v>
      </c>
      <c r="I119">
        <v>1576</v>
      </c>
      <c r="J119">
        <v>982.95</v>
      </c>
      <c r="K119">
        <v>593.04999999999995</v>
      </c>
      <c r="L119" t="s">
        <v>18</v>
      </c>
      <c r="M119" t="s">
        <v>26</v>
      </c>
      <c r="N119" t="str">
        <f>TEXT(SalesData[[#This Row],[Order Date]],"MMM-YYYY")</f>
        <v>May-2024</v>
      </c>
      <c r="O119" s="2">
        <f>SalesData[[#This Row],[Profit]]/SalesData[[#This Row],[Sales]]</f>
        <v>0.37630076142131974</v>
      </c>
    </row>
    <row r="120" spans="1:15" x14ac:dyDescent="0.25">
      <c r="A120" t="s">
        <v>157</v>
      </c>
      <c r="B120" s="1">
        <v>45466</v>
      </c>
      <c r="C120" t="s">
        <v>21</v>
      </c>
      <c r="D120" t="s">
        <v>22</v>
      </c>
      <c r="E120" t="s">
        <v>23</v>
      </c>
      <c r="F120" t="s">
        <v>24</v>
      </c>
      <c r="G120">
        <v>2</v>
      </c>
      <c r="H120">
        <v>948</v>
      </c>
      <c r="I120">
        <v>1896</v>
      </c>
      <c r="J120">
        <v>1459.63</v>
      </c>
      <c r="K120">
        <v>436.37</v>
      </c>
      <c r="L120" t="s">
        <v>18</v>
      </c>
      <c r="M120" t="s">
        <v>30</v>
      </c>
      <c r="N120" t="str">
        <f>TEXT(SalesData[[#This Row],[Order Date]],"MMM-YYYY")</f>
        <v>Jun-2024</v>
      </c>
      <c r="O120" s="2">
        <f>SalesData[[#This Row],[Profit]]/SalesData[[#This Row],[Sales]]</f>
        <v>0.2301529535864979</v>
      </c>
    </row>
    <row r="121" spans="1:15" x14ac:dyDescent="0.25">
      <c r="A121" t="s">
        <v>158</v>
      </c>
      <c r="B121" s="1">
        <v>45434</v>
      </c>
      <c r="C121" t="s">
        <v>38</v>
      </c>
      <c r="D121" t="s">
        <v>22</v>
      </c>
      <c r="E121" t="s">
        <v>23</v>
      </c>
      <c r="F121" t="s">
        <v>43</v>
      </c>
      <c r="G121">
        <v>2</v>
      </c>
      <c r="H121">
        <v>88</v>
      </c>
      <c r="I121">
        <v>176</v>
      </c>
      <c r="J121">
        <v>120.42</v>
      </c>
      <c r="K121">
        <v>55.58</v>
      </c>
      <c r="L121" t="s">
        <v>25</v>
      </c>
      <c r="M121" t="s">
        <v>19</v>
      </c>
      <c r="N121" t="str">
        <f>TEXT(SalesData[[#This Row],[Order Date]],"MMM-YYYY")</f>
        <v>May-2024</v>
      </c>
      <c r="O121" s="2">
        <f>SalesData[[#This Row],[Profit]]/SalesData[[#This Row],[Sales]]</f>
        <v>0.31579545454545455</v>
      </c>
    </row>
    <row r="122" spans="1:15" x14ac:dyDescent="0.25">
      <c r="A122" t="s">
        <v>159</v>
      </c>
      <c r="B122" s="1">
        <v>45435</v>
      </c>
      <c r="C122" t="s">
        <v>38</v>
      </c>
      <c r="D122" t="s">
        <v>15</v>
      </c>
      <c r="E122" t="s">
        <v>16</v>
      </c>
      <c r="F122" t="s">
        <v>17</v>
      </c>
      <c r="G122">
        <v>10</v>
      </c>
      <c r="H122">
        <v>452</v>
      </c>
      <c r="I122">
        <v>4520</v>
      </c>
      <c r="J122">
        <v>3594.64</v>
      </c>
      <c r="K122">
        <v>925.36</v>
      </c>
      <c r="L122" t="s">
        <v>18</v>
      </c>
      <c r="M122" t="s">
        <v>26</v>
      </c>
      <c r="N122" t="str">
        <f>TEXT(SalesData[[#This Row],[Order Date]],"MMM-YYYY")</f>
        <v>May-2024</v>
      </c>
      <c r="O122" s="2">
        <f>SalesData[[#This Row],[Profit]]/SalesData[[#This Row],[Sales]]</f>
        <v>0.20472566371681417</v>
      </c>
    </row>
    <row r="123" spans="1:15" x14ac:dyDescent="0.25">
      <c r="A123" t="s">
        <v>160</v>
      </c>
      <c r="B123" s="1">
        <v>45309</v>
      </c>
      <c r="C123" t="s">
        <v>38</v>
      </c>
      <c r="D123" t="s">
        <v>15</v>
      </c>
      <c r="E123" t="s">
        <v>16</v>
      </c>
      <c r="F123" t="s">
        <v>64</v>
      </c>
      <c r="G123">
        <v>5</v>
      </c>
      <c r="H123">
        <v>98</v>
      </c>
      <c r="I123">
        <v>490</v>
      </c>
      <c r="J123">
        <v>254.43</v>
      </c>
      <c r="K123">
        <v>235.57</v>
      </c>
      <c r="L123" t="s">
        <v>18</v>
      </c>
      <c r="M123" t="s">
        <v>30</v>
      </c>
      <c r="N123" t="str">
        <f>TEXT(SalesData[[#This Row],[Order Date]],"MMM-YYYY")</f>
        <v>Jan-2024</v>
      </c>
      <c r="O123" s="2">
        <f>SalesData[[#This Row],[Profit]]/SalesData[[#This Row],[Sales]]</f>
        <v>0.48075510204081634</v>
      </c>
    </row>
    <row r="124" spans="1:15" x14ac:dyDescent="0.25">
      <c r="A124" t="s">
        <v>161</v>
      </c>
      <c r="B124" s="1">
        <v>45540</v>
      </c>
      <c r="C124" t="s">
        <v>14</v>
      </c>
      <c r="D124" t="s">
        <v>28</v>
      </c>
      <c r="E124" t="s">
        <v>34</v>
      </c>
      <c r="F124" t="s">
        <v>53</v>
      </c>
      <c r="G124">
        <v>4</v>
      </c>
      <c r="H124">
        <v>465</v>
      </c>
      <c r="I124">
        <v>1860</v>
      </c>
      <c r="J124">
        <v>1094.94</v>
      </c>
      <c r="K124">
        <v>765.06</v>
      </c>
      <c r="L124" t="s">
        <v>18</v>
      </c>
      <c r="M124" t="s">
        <v>26</v>
      </c>
      <c r="N124" t="str">
        <f>TEXT(SalesData[[#This Row],[Order Date]],"MMM-YYYY")</f>
        <v>Sep-2024</v>
      </c>
      <c r="O124" s="2">
        <f>SalesData[[#This Row],[Profit]]/SalesData[[#This Row],[Sales]]</f>
        <v>0.41132258064516125</v>
      </c>
    </row>
    <row r="125" spans="1:15" x14ac:dyDescent="0.25">
      <c r="A125" t="s">
        <v>162</v>
      </c>
      <c r="B125" s="1">
        <v>45314</v>
      </c>
      <c r="C125" t="s">
        <v>41</v>
      </c>
      <c r="D125" t="s">
        <v>15</v>
      </c>
      <c r="E125" t="s">
        <v>23</v>
      </c>
      <c r="F125" t="s">
        <v>43</v>
      </c>
      <c r="G125">
        <v>6</v>
      </c>
      <c r="H125">
        <v>980</v>
      </c>
      <c r="I125">
        <v>5880</v>
      </c>
      <c r="J125">
        <v>3805.05</v>
      </c>
      <c r="K125">
        <v>2074.9499999999998</v>
      </c>
      <c r="L125" t="s">
        <v>18</v>
      </c>
      <c r="M125" t="s">
        <v>26</v>
      </c>
      <c r="N125" t="str">
        <f>TEXT(SalesData[[#This Row],[Order Date]],"MMM-YYYY")</f>
        <v>Jan-2024</v>
      </c>
      <c r="O125" s="2">
        <f>SalesData[[#This Row],[Profit]]/SalesData[[#This Row],[Sales]]</f>
        <v>0.35288265306122446</v>
      </c>
    </row>
    <row r="126" spans="1:15" x14ac:dyDescent="0.25">
      <c r="A126" t="s">
        <v>163</v>
      </c>
      <c r="B126" s="1">
        <v>45463</v>
      </c>
      <c r="C126" t="s">
        <v>41</v>
      </c>
      <c r="D126" t="s">
        <v>42</v>
      </c>
      <c r="E126" t="s">
        <v>23</v>
      </c>
      <c r="F126" t="s">
        <v>24</v>
      </c>
      <c r="G126">
        <v>10</v>
      </c>
      <c r="H126">
        <v>694</v>
      </c>
      <c r="I126">
        <v>6940</v>
      </c>
      <c r="J126">
        <v>3507.58</v>
      </c>
      <c r="K126">
        <v>3432.42</v>
      </c>
      <c r="L126" t="s">
        <v>25</v>
      </c>
      <c r="M126" t="s">
        <v>44</v>
      </c>
      <c r="N126" t="str">
        <f>TEXT(SalesData[[#This Row],[Order Date]],"MMM-YYYY")</f>
        <v>Jun-2024</v>
      </c>
      <c r="O126" s="2">
        <f>SalesData[[#This Row],[Profit]]/SalesData[[#This Row],[Sales]]</f>
        <v>0.49458501440922192</v>
      </c>
    </row>
    <row r="127" spans="1:15" x14ac:dyDescent="0.25">
      <c r="A127" t="s">
        <v>164</v>
      </c>
      <c r="B127" s="1">
        <v>45481</v>
      </c>
      <c r="C127" t="s">
        <v>38</v>
      </c>
      <c r="D127" t="s">
        <v>28</v>
      </c>
      <c r="E127" t="s">
        <v>34</v>
      </c>
      <c r="F127" t="s">
        <v>35</v>
      </c>
      <c r="G127">
        <v>9</v>
      </c>
      <c r="H127">
        <v>829</v>
      </c>
      <c r="I127">
        <v>7461</v>
      </c>
      <c r="J127">
        <v>4874.38</v>
      </c>
      <c r="K127">
        <v>2586.62</v>
      </c>
      <c r="L127" t="s">
        <v>25</v>
      </c>
      <c r="M127" t="s">
        <v>19</v>
      </c>
      <c r="N127" t="str">
        <f>TEXT(SalesData[[#This Row],[Order Date]],"MMM-YYYY")</f>
        <v>Jul-2024</v>
      </c>
      <c r="O127" s="2">
        <f>SalesData[[#This Row],[Profit]]/SalesData[[#This Row],[Sales]]</f>
        <v>0.34668543090738507</v>
      </c>
    </row>
    <row r="128" spans="1:15" x14ac:dyDescent="0.25">
      <c r="A128" t="s">
        <v>165</v>
      </c>
      <c r="B128" s="1">
        <v>45507</v>
      </c>
      <c r="C128" t="s">
        <v>14</v>
      </c>
      <c r="D128" t="s">
        <v>22</v>
      </c>
      <c r="E128" t="s">
        <v>23</v>
      </c>
      <c r="F128" t="s">
        <v>39</v>
      </c>
      <c r="G128">
        <v>1</v>
      </c>
      <c r="H128">
        <v>442</v>
      </c>
      <c r="I128">
        <v>442</v>
      </c>
      <c r="J128">
        <v>350.73</v>
      </c>
      <c r="K128">
        <v>91.27</v>
      </c>
      <c r="L128" t="s">
        <v>18</v>
      </c>
      <c r="M128" t="s">
        <v>30</v>
      </c>
      <c r="N128" t="str">
        <f>TEXT(SalesData[[#This Row],[Order Date]],"MMM-YYYY")</f>
        <v>Aug-2024</v>
      </c>
      <c r="O128" s="2">
        <f>SalesData[[#This Row],[Profit]]/SalesData[[#This Row],[Sales]]</f>
        <v>0.20649321266968326</v>
      </c>
    </row>
    <row r="129" spans="1:15" x14ac:dyDescent="0.25">
      <c r="A129" t="s">
        <v>166</v>
      </c>
      <c r="B129" s="1">
        <v>45352</v>
      </c>
      <c r="C129" t="s">
        <v>38</v>
      </c>
      <c r="D129" t="s">
        <v>28</v>
      </c>
      <c r="E129" t="s">
        <v>34</v>
      </c>
      <c r="F129" t="s">
        <v>53</v>
      </c>
      <c r="G129">
        <v>1</v>
      </c>
      <c r="H129">
        <v>510</v>
      </c>
      <c r="I129">
        <v>510</v>
      </c>
      <c r="J129">
        <v>315.95</v>
      </c>
      <c r="K129">
        <v>194.05</v>
      </c>
      <c r="L129" t="s">
        <v>25</v>
      </c>
      <c r="M129" t="s">
        <v>19</v>
      </c>
      <c r="N129" t="str">
        <f>TEXT(SalesData[[#This Row],[Order Date]],"MMM-YYYY")</f>
        <v>Mar-2024</v>
      </c>
      <c r="O129" s="2">
        <f>SalesData[[#This Row],[Profit]]/SalesData[[#This Row],[Sales]]</f>
        <v>0.38049019607843138</v>
      </c>
    </row>
    <row r="130" spans="1:15" x14ac:dyDescent="0.25">
      <c r="A130" t="s">
        <v>167</v>
      </c>
      <c r="B130" s="1">
        <v>45337</v>
      </c>
      <c r="C130" t="s">
        <v>41</v>
      </c>
      <c r="D130" t="s">
        <v>28</v>
      </c>
      <c r="E130" t="s">
        <v>23</v>
      </c>
      <c r="F130" t="s">
        <v>39</v>
      </c>
      <c r="G130">
        <v>6</v>
      </c>
      <c r="H130">
        <v>961</v>
      </c>
      <c r="I130">
        <v>5766</v>
      </c>
      <c r="J130">
        <v>3199.12</v>
      </c>
      <c r="K130">
        <v>2566.88</v>
      </c>
      <c r="L130" t="s">
        <v>25</v>
      </c>
      <c r="M130" t="s">
        <v>30</v>
      </c>
      <c r="N130" t="str">
        <f>TEXT(SalesData[[#This Row],[Order Date]],"MMM-YYYY")</f>
        <v>Feb-2024</v>
      </c>
      <c r="O130" s="2">
        <f>SalesData[[#This Row],[Profit]]/SalesData[[#This Row],[Sales]]</f>
        <v>0.44517516475893171</v>
      </c>
    </row>
    <row r="131" spans="1:15" x14ac:dyDescent="0.25">
      <c r="A131" t="s">
        <v>168</v>
      </c>
      <c r="B131" s="1">
        <v>45526</v>
      </c>
      <c r="C131" t="s">
        <v>38</v>
      </c>
      <c r="D131" t="s">
        <v>15</v>
      </c>
      <c r="E131" t="s">
        <v>23</v>
      </c>
      <c r="F131" t="s">
        <v>43</v>
      </c>
      <c r="G131">
        <v>8</v>
      </c>
      <c r="H131">
        <v>693</v>
      </c>
      <c r="I131">
        <v>5544</v>
      </c>
      <c r="J131">
        <v>3609.64</v>
      </c>
      <c r="K131">
        <v>1934.36</v>
      </c>
      <c r="L131" t="s">
        <v>18</v>
      </c>
      <c r="M131" t="s">
        <v>44</v>
      </c>
      <c r="N131" t="str">
        <f>TEXT(SalesData[[#This Row],[Order Date]],"MMM-YYYY")</f>
        <v>Aug-2024</v>
      </c>
      <c r="O131" s="2">
        <f>SalesData[[#This Row],[Profit]]/SalesData[[#This Row],[Sales]]</f>
        <v>0.34891053391053389</v>
      </c>
    </row>
    <row r="132" spans="1:15" x14ac:dyDescent="0.25">
      <c r="A132" t="s">
        <v>169</v>
      </c>
      <c r="B132" s="1">
        <v>45344</v>
      </c>
      <c r="C132" t="s">
        <v>41</v>
      </c>
      <c r="D132" t="s">
        <v>15</v>
      </c>
      <c r="E132" t="s">
        <v>16</v>
      </c>
      <c r="F132" t="s">
        <v>17</v>
      </c>
      <c r="G132">
        <v>6</v>
      </c>
      <c r="H132">
        <v>923</v>
      </c>
      <c r="I132">
        <v>5538</v>
      </c>
      <c r="J132">
        <v>4336.53</v>
      </c>
      <c r="K132">
        <v>1201.47</v>
      </c>
      <c r="L132" t="s">
        <v>18</v>
      </c>
      <c r="M132" t="s">
        <v>26</v>
      </c>
      <c r="N132" t="str">
        <f>TEXT(SalesData[[#This Row],[Order Date]],"MMM-YYYY")</f>
        <v>Feb-2024</v>
      </c>
      <c r="O132" s="2">
        <f>SalesData[[#This Row],[Profit]]/SalesData[[#This Row],[Sales]]</f>
        <v>0.21695016251354279</v>
      </c>
    </row>
    <row r="133" spans="1:15" x14ac:dyDescent="0.25">
      <c r="A133" t="s">
        <v>170</v>
      </c>
      <c r="B133" s="1">
        <v>45557</v>
      </c>
      <c r="C133" t="s">
        <v>38</v>
      </c>
      <c r="D133" t="s">
        <v>15</v>
      </c>
      <c r="E133" t="s">
        <v>34</v>
      </c>
      <c r="F133" t="s">
        <v>47</v>
      </c>
      <c r="G133">
        <v>7</v>
      </c>
      <c r="H133">
        <v>761</v>
      </c>
      <c r="I133">
        <v>5327</v>
      </c>
      <c r="J133">
        <v>3888.2</v>
      </c>
      <c r="K133">
        <v>1438.8</v>
      </c>
      <c r="L133" t="s">
        <v>25</v>
      </c>
      <c r="M133" t="s">
        <v>30</v>
      </c>
      <c r="N133" t="str">
        <f>TEXT(SalesData[[#This Row],[Order Date]],"MMM-YYYY")</f>
        <v>Sep-2024</v>
      </c>
      <c r="O133" s="2">
        <f>SalesData[[#This Row],[Profit]]/SalesData[[#This Row],[Sales]]</f>
        <v>0.270095738689694</v>
      </c>
    </row>
    <row r="134" spans="1:15" x14ac:dyDescent="0.25">
      <c r="A134" t="s">
        <v>171</v>
      </c>
      <c r="B134" s="1">
        <v>45336</v>
      </c>
      <c r="C134" t="s">
        <v>38</v>
      </c>
      <c r="D134" t="s">
        <v>42</v>
      </c>
      <c r="E134" t="s">
        <v>34</v>
      </c>
      <c r="F134" t="s">
        <v>47</v>
      </c>
      <c r="G134">
        <v>9</v>
      </c>
      <c r="H134">
        <v>352</v>
      </c>
      <c r="I134">
        <v>3168</v>
      </c>
      <c r="J134">
        <v>2430.33</v>
      </c>
      <c r="K134">
        <v>737.67</v>
      </c>
      <c r="L134" t="s">
        <v>25</v>
      </c>
      <c r="M134" t="s">
        <v>44</v>
      </c>
      <c r="N134" t="str">
        <f>TEXT(SalesData[[#This Row],[Order Date]],"MMM-YYYY")</f>
        <v>Feb-2024</v>
      </c>
      <c r="O134" s="2">
        <f>SalesData[[#This Row],[Profit]]/SalesData[[#This Row],[Sales]]</f>
        <v>0.23285037878787879</v>
      </c>
    </row>
    <row r="135" spans="1:15" x14ac:dyDescent="0.25">
      <c r="A135" t="s">
        <v>172</v>
      </c>
      <c r="B135" s="1">
        <v>45384</v>
      </c>
      <c r="C135" t="s">
        <v>38</v>
      </c>
      <c r="D135" t="s">
        <v>42</v>
      </c>
      <c r="E135" t="s">
        <v>23</v>
      </c>
      <c r="F135" t="s">
        <v>43</v>
      </c>
      <c r="G135">
        <v>3</v>
      </c>
      <c r="H135">
        <v>310</v>
      </c>
      <c r="I135">
        <v>930</v>
      </c>
      <c r="J135">
        <v>680.49</v>
      </c>
      <c r="K135">
        <v>249.51</v>
      </c>
      <c r="L135" t="s">
        <v>18</v>
      </c>
      <c r="M135" t="s">
        <v>26</v>
      </c>
      <c r="N135" t="str">
        <f>TEXT(SalesData[[#This Row],[Order Date]],"MMM-YYYY")</f>
        <v>Apr-2024</v>
      </c>
      <c r="O135" s="2">
        <f>SalesData[[#This Row],[Profit]]/SalesData[[#This Row],[Sales]]</f>
        <v>0.26829032258064517</v>
      </c>
    </row>
    <row r="136" spans="1:15" x14ac:dyDescent="0.25">
      <c r="A136" t="s">
        <v>173</v>
      </c>
      <c r="B136" s="1">
        <v>45539</v>
      </c>
      <c r="C136" t="s">
        <v>41</v>
      </c>
      <c r="D136" t="s">
        <v>28</v>
      </c>
      <c r="E136" t="s">
        <v>34</v>
      </c>
      <c r="F136" t="s">
        <v>53</v>
      </c>
      <c r="G136">
        <v>8</v>
      </c>
      <c r="H136">
        <v>659</v>
      </c>
      <c r="I136">
        <v>5272</v>
      </c>
      <c r="J136">
        <v>3524</v>
      </c>
      <c r="K136">
        <v>1748</v>
      </c>
      <c r="L136" t="s">
        <v>25</v>
      </c>
      <c r="M136" t="s">
        <v>30</v>
      </c>
      <c r="N136" t="str">
        <f>TEXT(SalesData[[#This Row],[Order Date]],"MMM-YYYY")</f>
        <v>Sep-2024</v>
      </c>
      <c r="O136" s="2">
        <f>SalesData[[#This Row],[Profit]]/SalesData[[#This Row],[Sales]]</f>
        <v>0.33156297420333841</v>
      </c>
    </row>
    <row r="137" spans="1:15" x14ac:dyDescent="0.25">
      <c r="A137" t="s">
        <v>174</v>
      </c>
      <c r="B137" s="1">
        <v>45407</v>
      </c>
      <c r="C137" t="s">
        <v>14</v>
      </c>
      <c r="D137" t="s">
        <v>42</v>
      </c>
      <c r="E137" t="s">
        <v>23</v>
      </c>
      <c r="F137" t="s">
        <v>39</v>
      </c>
      <c r="G137">
        <v>8</v>
      </c>
      <c r="H137">
        <v>155</v>
      </c>
      <c r="I137">
        <v>1240</v>
      </c>
      <c r="J137">
        <v>780.35</v>
      </c>
      <c r="K137">
        <v>459.65</v>
      </c>
      <c r="L137" t="s">
        <v>25</v>
      </c>
      <c r="M137" t="s">
        <v>26</v>
      </c>
      <c r="N137" t="str">
        <f>TEXT(SalesData[[#This Row],[Order Date]],"MMM-YYYY")</f>
        <v>Apr-2024</v>
      </c>
      <c r="O137" s="2">
        <f>SalesData[[#This Row],[Profit]]/SalesData[[#This Row],[Sales]]</f>
        <v>0.37068548387096772</v>
      </c>
    </row>
    <row r="138" spans="1:15" x14ac:dyDescent="0.25">
      <c r="A138" t="s">
        <v>175</v>
      </c>
      <c r="B138" s="1">
        <v>45321</v>
      </c>
      <c r="C138" t="s">
        <v>41</v>
      </c>
      <c r="D138" t="s">
        <v>22</v>
      </c>
      <c r="E138" t="s">
        <v>16</v>
      </c>
      <c r="F138" t="s">
        <v>29</v>
      </c>
      <c r="G138">
        <v>6</v>
      </c>
      <c r="H138">
        <v>980</v>
      </c>
      <c r="I138">
        <v>5880</v>
      </c>
      <c r="J138">
        <v>3618.7</v>
      </c>
      <c r="K138">
        <v>2261.3000000000002</v>
      </c>
      <c r="L138" t="s">
        <v>18</v>
      </c>
      <c r="M138" t="s">
        <v>44</v>
      </c>
      <c r="N138" t="str">
        <f>TEXT(SalesData[[#This Row],[Order Date]],"MMM-YYYY")</f>
        <v>Jan-2024</v>
      </c>
      <c r="O138" s="2">
        <f>SalesData[[#This Row],[Profit]]/SalesData[[#This Row],[Sales]]</f>
        <v>0.38457482993197284</v>
      </c>
    </row>
    <row r="139" spans="1:15" x14ac:dyDescent="0.25">
      <c r="A139" t="s">
        <v>176</v>
      </c>
      <c r="B139" s="1">
        <v>45393</v>
      </c>
      <c r="C139" t="s">
        <v>14</v>
      </c>
      <c r="D139" t="s">
        <v>42</v>
      </c>
      <c r="E139" t="s">
        <v>16</v>
      </c>
      <c r="F139" t="s">
        <v>29</v>
      </c>
      <c r="G139">
        <v>2</v>
      </c>
      <c r="H139">
        <v>52</v>
      </c>
      <c r="I139">
        <v>104</v>
      </c>
      <c r="J139">
        <v>78.260000000000005</v>
      </c>
      <c r="K139">
        <v>25.74</v>
      </c>
      <c r="L139" t="s">
        <v>18</v>
      </c>
      <c r="M139" t="s">
        <v>19</v>
      </c>
      <c r="N139" t="str">
        <f>TEXT(SalesData[[#This Row],[Order Date]],"MMM-YYYY")</f>
        <v>Apr-2024</v>
      </c>
      <c r="O139" s="2">
        <f>SalesData[[#This Row],[Profit]]/SalesData[[#This Row],[Sales]]</f>
        <v>0.2475</v>
      </c>
    </row>
    <row r="140" spans="1:15" x14ac:dyDescent="0.25">
      <c r="A140" t="s">
        <v>177</v>
      </c>
      <c r="B140" s="1">
        <v>45448</v>
      </c>
      <c r="C140" t="s">
        <v>14</v>
      </c>
      <c r="D140" t="s">
        <v>42</v>
      </c>
      <c r="E140" t="s">
        <v>16</v>
      </c>
      <c r="F140" t="s">
        <v>29</v>
      </c>
      <c r="G140">
        <v>4</v>
      </c>
      <c r="H140">
        <v>884</v>
      </c>
      <c r="I140">
        <v>3536</v>
      </c>
      <c r="J140">
        <v>1809.77</v>
      </c>
      <c r="K140">
        <v>1726.23</v>
      </c>
      <c r="L140" t="s">
        <v>25</v>
      </c>
      <c r="M140" t="s">
        <v>26</v>
      </c>
      <c r="N140" t="str">
        <f>TEXT(SalesData[[#This Row],[Order Date]],"MMM-YYYY")</f>
        <v>Jun-2024</v>
      </c>
      <c r="O140" s="2">
        <f>SalesData[[#This Row],[Profit]]/SalesData[[#This Row],[Sales]]</f>
        <v>0.48818721719457014</v>
      </c>
    </row>
    <row r="141" spans="1:15" x14ac:dyDescent="0.25">
      <c r="A141" t="s">
        <v>178</v>
      </c>
      <c r="B141" s="1">
        <v>45430</v>
      </c>
      <c r="C141" t="s">
        <v>38</v>
      </c>
      <c r="D141" t="s">
        <v>42</v>
      </c>
      <c r="E141" t="s">
        <v>34</v>
      </c>
      <c r="F141" t="s">
        <v>35</v>
      </c>
      <c r="G141">
        <v>10</v>
      </c>
      <c r="H141">
        <v>55</v>
      </c>
      <c r="I141">
        <v>550</v>
      </c>
      <c r="J141">
        <v>317.18</v>
      </c>
      <c r="K141">
        <v>232.82</v>
      </c>
      <c r="L141" t="s">
        <v>18</v>
      </c>
      <c r="M141" t="s">
        <v>19</v>
      </c>
      <c r="N141" t="str">
        <f>TEXT(SalesData[[#This Row],[Order Date]],"MMM-YYYY")</f>
        <v>May-2024</v>
      </c>
      <c r="O141" s="2">
        <f>SalesData[[#This Row],[Profit]]/SalesData[[#This Row],[Sales]]</f>
        <v>0.42330909090909091</v>
      </c>
    </row>
    <row r="142" spans="1:15" x14ac:dyDescent="0.25">
      <c r="A142" t="s">
        <v>179</v>
      </c>
      <c r="B142" s="1">
        <v>45463</v>
      </c>
      <c r="C142" t="s">
        <v>14</v>
      </c>
      <c r="D142" t="s">
        <v>15</v>
      </c>
      <c r="E142" t="s">
        <v>23</v>
      </c>
      <c r="F142" t="s">
        <v>24</v>
      </c>
      <c r="G142">
        <v>3</v>
      </c>
      <c r="H142">
        <v>220</v>
      </c>
      <c r="I142">
        <v>660</v>
      </c>
      <c r="J142">
        <v>407.15</v>
      </c>
      <c r="K142">
        <v>252.85</v>
      </c>
      <c r="L142" t="s">
        <v>25</v>
      </c>
      <c r="M142" t="s">
        <v>44</v>
      </c>
      <c r="N142" t="str">
        <f>TEXT(SalesData[[#This Row],[Order Date]],"MMM-YYYY")</f>
        <v>Jun-2024</v>
      </c>
      <c r="O142" s="2">
        <f>SalesData[[#This Row],[Profit]]/SalesData[[#This Row],[Sales]]</f>
        <v>0.38310606060606062</v>
      </c>
    </row>
    <row r="143" spans="1:15" x14ac:dyDescent="0.25">
      <c r="A143" t="s">
        <v>180</v>
      </c>
      <c r="B143" s="1">
        <v>45525</v>
      </c>
      <c r="C143" t="s">
        <v>14</v>
      </c>
      <c r="D143" t="s">
        <v>22</v>
      </c>
      <c r="E143" t="s">
        <v>23</v>
      </c>
      <c r="F143" t="s">
        <v>39</v>
      </c>
      <c r="G143">
        <v>6</v>
      </c>
      <c r="H143">
        <v>222</v>
      </c>
      <c r="I143">
        <v>1332</v>
      </c>
      <c r="J143">
        <v>1012.79</v>
      </c>
      <c r="K143">
        <v>319.20999999999998</v>
      </c>
      <c r="L143" t="s">
        <v>25</v>
      </c>
      <c r="M143" t="s">
        <v>19</v>
      </c>
      <c r="N143" t="str">
        <f>TEXT(SalesData[[#This Row],[Order Date]],"MMM-YYYY")</f>
        <v>Aug-2024</v>
      </c>
      <c r="O143" s="2">
        <f>SalesData[[#This Row],[Profit]]/SalesData[[#This Row],[Sales]]</f>
        <v>0.23964714714714713</v>
      </c>
    </row>
    <row r="144" spans="1:15" x14ac:dyDescent="0.25">
      <c r="A144" t="s">
        <v>181</v>
      </c>
      <c r="B144" s="1">
        <v>45445</v>
      </c>
      <c r="C144" t="s">
        <v>41</v>
      </c>
      <c r="D144" t="s">
        <v>42</v>
      </c>
      <c r="E144" t="s">
        <v>16</v>
      </c>
      <c r="F144" t="s">
        <v>64</v>
      </c>
      <c r="G144">
        <v>10</v>
      </c>
      <c r="H144">
        <v>639</v>
      </c>
      <c r="I144">
        <v>6390</v>
      </c>
      <c r="J144">
        <v>4346.22</v>
      </c>
      <c r="K144">
        <v>2043.78</v>
      </c>
      <c r="L144" t="s">
        <v>25</v>
      </c>
      <c r="M144" t="s">
        <v>44</v>
      </c>
      <c r="N144" t="str">
        <f>TEXT(SalesData[[#This Row],[Order Date]],"MMM-YYYY")</f>
        <v>Jun-2024</v>
      </c>
      <c r="O144" s="2">
        <f>SalesData[[#This Row],[Profit]]/SalesData[[#This Row],[Sales]]</f>
        <v>0.31984037558685446</v>
      </c>
    </row>
    <row r="145" spans="1:15" x14ac:dyDescent="0.25">
      <c r="A145" t="s">
        <v>182</v>
      </c>
      <c r="B145" s="1">
        <v>45293</v>
      </c>
      <c r="C145" t="s">
        <v>21</v>
      </c>
      <c r="D145" t="s">
        <v>15</v>
      </c>
      <c r="E145" t="s">
        <v>34</v>
      </c>
      <c r="F145" t="s">
        <v>53</v>
      </c>
      <c r="G145">
        <v>6</v>
      </c>
      <c r="H145">
        <v>462</v>
      </c>
      <c r="I145">
        <v>2772</v>
      </c>
      <c r="J145">
        <v>1847.11</v>
      </c>
      <c r="K145">
        <v>924.89</v>
      </c>
      <c r="L145" t="s">
        <v>25</v>
      </c>
      <c r="M145" t="s">
        <v>44</v>
      </c>
      <c r="N145" t="str">
        <f>TEXT(SalesData[[#This Row],[Order Date]],"MMM-YYYY")</f>
        <v>Jan-2024</v>
      </c>
      <c r="O145" s="2">
        <f>SalesData[[#This Row],[Profit]]/SalesData[[#This Row],[Sales]]</f>
        <v>0.33365440115440115</v>
      </c>
    </row>
    <row r="146" spans="1:15" x14ac:dyDescent="0.25">
      <c r="A146" t="s">
        <v>183</v>
      </c>
      <c r="B146" s="1">
        <v>45408</v>
      </c>
      <c r="C146" t="s">
        <v>21</v>
      </c>
      <c r="D146" t="s">
        <v>22</v>
      </c>
      <c r="E146" t="s">
        <v>16</v>
      </c>
      <c r="F146" t="s">
        <v>29</v>
      </c>
      <c r="G146">
        <v>2</v>
      </c>
      <c r="H146">
        <v>813</v>
      </c>
      <c r="I146">
        <v>1626</v>
      </c>
      <c r="J146">
        <v>867.17</v>
      </c>
      <c r="K146">
        <v>758.83</v>
      </c>
      <c r="L146" t="s">
        <v>18</v>
      </c>
      <c r="M146" t="s">
        <v>19</v>
      </c>
      <c r="N146" t="str">
        <f>TEXT(SalesData[[#This Row],[Order Date]],"MMM-YYYY")</f>
        <v>Apr-2024</v>
      </c>
      <c r="O146" s="2">
        <f>SalesData[[#This Row],[Profit]]/SalesData[[#This Row],[Sales]]</f>
        <v>0.46668511685116854</v>
      </c>
    </row>
    <row r="147" spans="1:15" x14ac:dyDescent="0.25">
      <c r="A147" t="s">
        <v>184</v>
      </c>
      <c r="B147" s="1">
        <v>45390</v>
      </c>
      <c r="C147" t="s">
        <v>21</v>
      </c>
      <c r="D147" t="s">
        <v>28</v>
      </c>
      <c r="E147" t="s">
        <v>23</v>
      </c>
      <c r="F147" t="s">
        <v>24</v>
      </c>
      <c r="G147">
        <v>2</v>
      </c>
      <c r="H147">
        <v>648</v>
      </c>
      <c r="I147">
        <v>1296</v>
      </c>
      <c r="J147">
        <v>886.55</v>
      </c>
      <c r="K147">
        <v>409.45</v>
      </c>
      <c r="L147" t="s">
        <v>25</v>
      </c>
      <c r="M147" t="s">
        <v>26</v>
      </c>
      <c r="N147" t="str">
        <f>TEXT(SalesData[[#This Row],[Order Date]],"MMM-YYYY")</f>
        <v>Apr-2024</v>
      </c>
      <c r="O147" s="2">
        <f>SalesData[[#This Row],[Profit]]/SalesData[[#This Row],[Sales]]</f>
        <v>0.31593364197530865</v>
      </c>
    </row>
    <row r="148" spans="1:15" x14ac:dyDescent="0.25">
      <c r="A148" t="s">
        <v>185</v>
      </c>
      <c r="B148" s="1">
        <v>45303</v>
      </c>
      <c r="C148" t="s">
        <v>38</v>
      </c>
      <c r="D148" t="s">
        <v>42</v>
      </c>
      <c r="E148" t="s">
        <v>16</v>
      </c>
      <c r="F148" t="s">
        <v>17</v>
      </c>
      <c r="G148">
        <v>5</v>
      </c>
      <c r="H148">
        <v>271</v>
      </c>
      <c r="I148">
        <v>1355</v>
      </c>
      <c r="J148">
        <v>788.58</v>
      </c>
      <c r="K148">
        <v>566.41999999999996</v>
      </c>
      <c r="L148" t="s">
        <v>18</v>
      </c>
      <c r="M148" t="s">
        <v>26</v>
      </c>
      <c r="N148" t="str">
        <f>TEXT(SalesData[[#This Row],[Order Date]],"MMM-YYYY")</f>
        <v>Jan-2024</v>
      </c>
      <c r="O148" s="2">
        <f>SalesData[[#This Row],[Profit]]/SalesData[[#This Row],[Sales]]</f>
        <v>0.41802214022140216</v>
      </c>
    </row>
    <row r="149" spans="1:15" x14ac:dyDescent="0.25">
      <c r="A149" t="s">
        <v>186</v>
      </c>
      <c r="B149" s="1">
        <v>45535</v>
      </c>
      <c r="C149" t="s">
        <v>41</v>
      </c>
      <c r="D149" t="s">
        <v>15</v>
      </c>
      <c r="E149" t="s">
        <v>16</v>
      </c>
      <c r="F149" t="s">
        <v>29</v>
      </c>
      <c r="G149">
        <v>2</v>
      </c>
      <c r="H149">
        <v>544</v>
      </c>
      <c r="I149">
        <v>1088</v>
      </c>
      <c r="J149">
        <v>654.01</v>
      </c>
      <c r="K149">
        <v>433.99</v>
      </c>
      <c r="L149" t="s">
        <v>18</v>
      </c>
      <c r="M149" t="s">
        <v>19</v>
      </c>
      <c r="N149" t="str">
        <f>TEXT(SalesData[[#This Row],[Order Date]],"MMM-YYYY")</f>
        <v>Aug-2024</v>
      </c>
      <c r="O149" s="2">
        <f>SalesData[[#This Row],[Profit]]/SalesData[[#This Row],[Sales]]</f>
        <v>0.39888786764705886</v>
      </c>
    </row>
    <row r="150" spans="1:15" x14ac:dyDescent="0.25">
      <c r="A150" t="s">
        <v>187</v>
      </c>
      <c r="B150" s="1">
        <v>45367</v>
      </c>
      <c r="C150" t="s">
        <v>38</v>
      </c>
      <c r="D150" t="s">
        <v>15</v>
      </c>
      <c r="E150" t="s">
        <v>16</v>
      </c>
      <c r="F150" t="s">
        <v>64</v>
      </c>
      <c r="G150">
        <v>2</v>
      </c>
      <c r="H150">
        <v>27</v>
      </c>
      <c r="I150">
        <v>54</v>
      </c>
      <c r="J150">
        <v>41.45</v>
      </c>
      <c r="K150">
        <v>12.55</v>
      </c>
      <c r="L150" t="s">
        <v>25</v>
      </c>
      <c r="M150" t="s">
        <v>30</v>
      </c>
      <c r="N150" t="str">
        <f>TEXT(SalesData[[#This Row],[Order Date]],"MMM-YYYY")</f>
        <v>Mar-2024</v>
      </c>
      <c r="O150" s="2">
        <f>SalesData[[#This Row],[Profit]]/SalesData[[#This Row],[Sales]]</f>
        <v>0.23240740740740742</v>
      </c>
    </row>
    <row r="151" spans="1:15" x14ac:dyDescent="0.25">
      <c r="A151" t="s">
        <v>188</v>
      </c>
      <c r="B151" s="1">
        <v>45357</v>
      </c>
      <c r="C151" t="s">
        <v>14</v>
      </c>
      <c r="D151" t="s">
        <v>15</v>
      </c>
      <c r="E151" t="s">
        <v>23</v>
      </c>
      <c r="F151" t="s">
        <v>39</v>
      </c>
      <c r="G151">
        <v>8</v>
      </c>
      <c r="H151">
        <v>834</v>
      </c>
      <c r="I151">
        <v>6672</v>
      </c>
      <c r="J151">
        <v>5278.56</v>
      </c>
      <c r="K151">
        <v>1393.44</v>
      </c>
      <c r="L151" t="s">
        <v>25</v>
      </c>
      <c r="M151" t="s">
        <v>26</v>
      </c>
      <c r="N151" t="str">
        <f>TEXT(SalesData[[#This Row],[Order Date]],"MMM-YYYY")</f>
        <v>Mar-2024</v>
      </c>
      <c r="O151" s="2">
        <f>SalesData[[#This Row],[Profit]]/SalesData[[#This Row],[Sales]]</f>
        <v>0.20884892086330936</v>
      </c>
    </row>
    <row r="152" spans="1:15" x14ac:dyDescent="0.25">
      <c r="A152" t="s">
        <v>189</v>
      </c>
      <c r="B152" s="1">
        <v>45375</v>
      </c>
      <c r="C152" t="s">
        <v>21</v>
      </c>
      <c r="D152" t="s">
        <v>28</v>
      </c>
      <c r="E152" t="s">
        <v>23</v>
      </c>
      <c r="F152" t="s">
        <v>43</v>
      </c>
      <c r="G152">
        <v>4</v>
      </c>
      <c r="H152">
        <v>328</v>
      </c>
      <c r="I152">
        <v>1312</v>
      </c>
      <c r="J152">
        <v>797.69</v>
      </c>
      <c r="K152">
        <v>514.30999999999995</v>
      </c>
      <c r="L152" t="s">
        <v>18</v>
      </c>
      <c r="M152" t="s">
        <v>44</v>
      </c>
      <c r="N152" t="str">
        <f>TEXT(SalesData[[#This Row],[Order Date]],"MMM-YYYY")</f>
        <v>Mar-2024</v>
      </c>
      <c r="O152" s="2">
        <f>SalesData[[#This Row],[Profit]]/SalesData[[#This Row],[Sales]]</f>
        <v>0.39200457317073167</v>
      </c>
    </row>
    <row r="153" spans="1:15" x14ac:dyDescent="0.25">
      <c r="A153" t="s">
        <v>190</v>
      </c>
      <c r="B153" s="1">
        <v>45332</v>
      </c>
      <c r="C153" t="s">
        <v>21</v>
      </c>
      <c r="D153" t="s">
        <v>22</v>
      </c>
      <c r="E153" t="s">
        <v>23</v>
      </c>
      <c r="F153" t="s">
        <v>24</v>
      </c>
      <c r="G153">
        <v>8</v>
      </c>
      <c r="H153">
        <v>492</v>
      </c>
      <c r="I153">
        <v>3936</v>
      </c>
      <c r="J153">
        <v>2499.11</v>
      </c>
      <c r="K153">
        <v>1436.89</v>
      </c>
      <c r="L153" t="s">
        <v>18</v>
      </c>
      <c r="M153" t="s">
        <v>26</v>
      </c>
      <c r="N153" t="str">
        <f>TEXT(SalesData[[#This Row],[Order Date]],"MMM-YYYY")</f>
        <v>Feb-2024</v>
      </c>
      <c r="O153" s="2">
        <f>SalesData[[#This Row],[Profit]]/SalesData[[#This Row],[Sales]]</f>
        <v>0.36506351626016265</v>
      </c>
    </row>
    <row r="154" spans="1:15" x14ac:dyDescent="0.25">
      <c r="A154" t="s">
        <v>191</v>
      </c>
      <c r="B154" s="1">
        <v>45375</v>
      </c>
      <c r="C154" t="s">
        <v>41</v>
      </c>
      <c r="D154" t="s">
        <v>42</v>
      </c>
      <c r="E154" t="s">
        <v>16</v>
      </c>
      <c r="F154" t="s">
        <v>17</v>
      </c>
      <c r="G154">
        <v>2</v>
      </c>
      <c r="H154">
        <v>870</v>
      </c>
      <c r="I154">
        <v>1740</v>
      </c>
      <c r="J154">
        <v>1341.58</v>
      </c>
      <c r="K154">
        <v>398.42</v>
      </c>
      <c r="L154" t="s">
        <v>18</v>
      </c>
      <c r="M154" t="s">
        <v>44</v>
      </c>
      <c r="N154" t="str">
        <f>TEXT(SalesData[[#This Row],[Order Date]],"MMM-YYYY")</f>
        <v>Mar-2024</v>
      </c>
      <c r="O154" s="2">
        <f>SalesData[[#This Row],[Profit]]/SalesData[[#This Row],[Sales]]</f>
        <v>0.22897701149425287</v>
      </c>
    </row>
    <row r="155" spans="1:15" x14ac:dyDescent="0.25">
      <c r="A155" t="s">
        <v>192</v>
      </c>
      <c r="B155" s="1">
        <v>45540</v>
      </c>
      <c r="C155" t="s">
        <v>14</v>
      </c>
      <c r="D155" t="s">
        <v>15</v>
      </c>
      <c r="E155" t="s">
        <v>34</v>
      </c>
      <c r="F155" t="s">
        <v>35</v>
      </c>
      <c r="G155">
        <v>2</v>
      </c>
      <c r="H155">
        <v>935</v>
      </c>
      <c r="I155">
        <v>1870</v>
      </c>
      <c r="J155">
        <v>1156.44</v>
      </c>
      <c r="K155">
        <v>713.56</v>
      </c>
      <c r="L155" t="s">
        <v>18</v>
      </c>
      <c r="M155" t="s">
        <v>26</v>
      </c>
      <c r="N155" t="str">
        <f>TEXT(SalesData[[#This Row],[Order Date]],"MMM-YYYY")</f>
        <v>Sep-2024</v>
      </c>
      <c r="O155" s="2">
        <f>SalesData[[#This Row],[Profit]]/SalesData[[#This Row],[Sales]]</f>
        <v>0.38158288770053472</v>
      </c>
    </row>
    <row r="156" spans="1:15" x14ac:dyDescent="0.25">
      <c r="A156" t="s">
        <v>193</v>
      </c>
      <c r="B156" s="1">
        <v>45493</v>
      </c>
      <c r="C156" t="s">
        <v>41</v>
      </c>
      <c r="D156" t="s">
        <v>28</v>
      </c>
      <c r="E156" t="s">
        <v>34</v>
      </c>
      <c r="F156" t="s">
        <v>47</v>
      </c>
      <c r="G156">
        <v>2</v>
      </c>
      <c r="H156">
        <v>660</v>
      </c>
      <c r="I156">
        <v>1320</v>
      </c>
      <c r="J156">
        <v>666.88</v>
      </c>
      <c r="K156">
        <v>653.12</v>
      </c>
      <c r="L156" t="s">
        <v>18</v>
      </c>
      <c r="M156" t="s">
        <v>44</v>
      </c>
      <c r="N156" t="str">
        <f>TEXT(SalesData[[#This Row],[Order Date]],"MMM-YYYY")</f>
        <v>Jul-2024</v>
      </c>
      <c r="O156" s="2">
        <f>SalesData[[#This Row],[Profit]]/SalesData[[#This Row],[Sales]]</f>
        <v>0.49478787878787878</v>
      </c>
    </row>
    <row r="157" spans="1:15" x14ac:dyDescent="0.25">
      <c r="A157" t="s">
        <v>194</v>
      </c>
      <c r="B157" s="1">
        <v>45441</v>
      </c>
      <c r="C157" t="s">
        <v>14</v>
      </c>
      <c r="D157" t="s">
        <v>28</v>
      </c>
      <c r="E157" t="s">
        <v>16</v>
      </c>
      <c r="F157" t="s">
        <v>64</v>
      </c>
      <c r="G157">
        <v>6</v>
      </c>
      <c r="H157">
        <v>137</v>
      </c>
      <c r="I157">
        <v>822</v>
      </c>
      <c r="J157">
        <v>531.46</v>
      </c>
      <c r="K157">
        <v>290.54000000000002</v>
      </c>
      <c r="L157" t="s">
        <v>25</v>
      </c>
      <c r="M157" t="s">
        <v>44</v>
      </c>
      <c r="N157" t="str">
        <f>TEXT(SalesData[[#This Row],[Order Date]],"MMM-YYYY")</f>
        <v>May-2024</v>
      </c>
      <c r="O157" s="2">
        <f>SalesData[[#This Row],[Profit]]/SalesData[[#This Row],[Sales]]</f>
        <v>0.35345498783454993</v>
      </c>
    </row>
    <row r="158" spans="1:15" x14ac:dyDescent="0.25">
      <c r="A158" t="s">
        <v>195</v>
      </c>
      <c r="B158" s="1">
        <v>45360</v>
      </c>
      <c r="C158" t="s">
        <v>41</v>
      </c>
      <c r="D158" t="s">
        <v>15</v>
      </c>
      <c r="E158" t="s">
        <v>23</v>
      </c>
      <c r="F158" t="s">
        <v>24</v>
      </c>
      <c r="G158">
        <v>10</v>
      </c>
      <c r="H158">
        <v>974</v>
      </c>
      <c r="I158">
        <v>9740</v>
      </c>
      <c r="J158">
        <v>7153.36</v>
      </c>
      <c r="K158">
        <v>2586.64</v>
      </c>
      <c r="L158" t="s">
        <v>25</v>
      </c>
      <c r="M158" t="s">
        <v>19</v>
      </c>
      <c r="N158" t="str">
        <f>TEXT(SalesData[[#This Row],[Order Date]],"MMM-YYYY")</f>
        <v>Mar-2024</v>
      </c>
      <c r="O158" s="2">
        <f>SalesData[[#This Row],[Profit]]/SalesData[[#This Row],[Sales]]</f>
        <v>0.26556878850102666</v>
      </c>
    </row>
    <row r="159" spans="1:15" x14ac:dyDescent="0.25">
      <c r="A159" t="s">
        <v>196</v>
      </c>
      <c r="B159" s="1">
        <v>45518</v>
      </c>
      <c r="C159" t="s">
        <v>38</v>
      </c>
      <c r="D159" t="s">
        <v>15</v>
      </c>
      <c r="E159" t="s">
        <v>23</v>
      </c>
      <c r="F159" t="s">
        <v>24</v>
      </c>
      <c r="G159">
        <v>2</v>
      </c>
      <c r="H159">
        <v>401</v>
      </c>
      <c r="I159">
        <v>802</v>
      </c>
      <c r="J159">
        <v>433.63</v>
      </c>
      <c r="K159">
        <v>368.37</v>
      </c>
      <c r="L159" t="s">
        <v>18</v>
      </c>
      <c r="M159" t="s">
        <v>30</v>
      </c>
      <c r="N159" t="str">
        <f>TEXT(SalesData[[#This Row],[Order Date]],"MMM-YYYY")</f>
        <v>Aug-2024</v>
      </c>
      <c r="O159" s="2">
        <f>SalesData[[#This Row],[Profit]]/SalesData[[#This Row],[Sales]]</f>
        <v>0.45931421446384041</v>
      </c>
    </row>
    <row r="160" spans="1:15" x14ac:dyDescent="0.25">
      <c r="A160" t="s">
        <v>197</v>
      </c>
      <c r="B160" s="1">
        <v>45459</v>
      </c>
      <c r="C160" t="s">
        <v>41</v>
      </c>
      <c r="D160" t="s">
        <v>22</v>
      </c>
      <c r="E160" t="s">
        <v>34</v>
      </c>
      <c r="F160" t="s">
        <v>35</v>
      </c>
      <c r="G160">
        <v>8</v>
      </c>
      <c r="H160">
        <v>421</v>
      </c>
      <c r="I160">
        <v>3368</v>
      </c>
      <c r="J160">
        <v>2122.69</v>
      </c>
      <c r="K160">
        <v>1245.31</v>
      </c>
      <c r="L160" t="s">
        <v>25</v>
      </c>
      <c r="M160" t="s">
        <v>26</v>
      </c>
      <c r="N160" t="str">
        <f>TEXT(SalesData[[#This Row],[Order Date]],"MMM-YYYY")</f>
        <v>Jun-2024</v>
      </c>
      <c r="O160" s="2">
        <f>SalesData[[#This Row],[Profit]]/SalesData[[#This Row],[Sales]]</f>
        <v>0.36974762470308786</v>
      </c>
    </row>
    <row r="161" spans="1:15" x14ac:dyDescent="0.25">
      <c r="A161" t="s">
        <v>198</v>
      </c>
      <c r="B161" s="1">
        <v>45331</v>
      </c>
      <c r="C161" t="s">
        <v>21</v>
      </c>
      <c r="D161" t="s">
        <v>42</v>
      </c>
      <c r="E161" t="s">
        <v>34</v>
      </c>
      <c r="F161" t="s">
        <v>47</v>
      </c>
      <c r="G161">
        <v>10</v>
      </c>
      <c r="H161">
        <v>223</v>
      </c>
      <c r="I161">
        <v>2230</v>
      </c>
      <c r="J161">
        <v>1564.88</v>
      </c>
      <c r="K161">
        <v>665.12</v>
      </c>
      <c r="L161" t="s">
        <v>25</v>
      </c>
      <c r="M161" t="s">
        <v>26</v>
      </c>
      <c r="N161" t="str">
        <f>TEXT(SalesData[[#This Row],[Order Date]],"MMM-YYYY")</f>
        <v>Feb-2024</v>
      </c>
      <c r="O161" s="2">
        <f>SalesData[[#This Row],[Profit]]/SalesData[[#This Row],[Sales]]</f>
        <v>0.29826008968609868</v>
      </c>
    </row>
    <row r="162" spans="1:15" x14ac:dyDescent="0.25">
      <c r="A162" t="s">
        <v>199</v>
      </c>
      <c r="B162" s="1">
        <v>45415</v>
      </c>
      <c r="C162" t="s">
        <v>41</v>
      </c>
      <c r="D162" t="s">
        <v>22</v>
      </c>
      <c r="E162" t="s">
        <v>34</v>
      </c>
      <c r="F162" t="s">
        <v>47</v>
      </c>
      <c r="G162">
        <v>5</v>
      </c>
      <c r="H162">
        <v>717</v>
      </c>
      <c r="I162">
        <v>3585</v>
      </c>
      <c r="J162">
        <v>2355.0500000000002</v>
      </c>
      <c r="K162">
        <v>1229.95</v>
      </c>
      <c r="L162" t="s">
        <v>18</v>
      </c>
      <c r="M162" t="s">
        <v>19</v>
      </c>
      <c r="N162" t="str">
        <f>TEXT(SalesData[[#This Row],[Order Date]],"MMM-YYYY")</f>
        <v>May-2024</v>
      </c>
      <c r="O162" s="2">
        <f>SalesData[[#This Row],[Profit]]/SalesData[[#This Row],[Sales]]</f>
        <v>0.34308228730822876</v>
      </c>
    </row>
    <row r="163" spans="1:15" x14ac:dyDescent="0.25">
      <c r="A163" t="s">
        <v>200</v>
      </c>
      <c r="B163" s="1">
        <v>45536</v>
      </c>
      <c r="C163" t="s">
        <v>41</v>
      </c>
      <c r="D163" t="s">
        <v>28</v>
      </c>
      <c r="E163" t="s">
        <v>23</v>
      </c>
      <c r="F163" t="s">
        <v>43</v>
      </c>
      <c r="G163">
        <v>5</v>
      </c>
      <c r="H163">
        <v>769</v>
      </c>
      <c r="I163">
        <v>3845</v>
      </c>
      <c r="J163">
        <v>2473.16</v>
      </c>
      <c r="K163">
        <v>1371.84</v>
      </c>
      <c r="L163" t="s">
        <v>25</v>
      </c>
      <c r="M163" t="s">
        <v>19</v>
      </c>
      <c r="N163" t="str">
        <f>TEXT(SalesData[[#This Row],[Order Date]],"MMM-YYYY")</f>
        <v>Sep-2024</v>
      </c>
      <c r="O163" s="2">
        <f>SalesData[[#This Row],[Profit]]/SalesData[[#This Row],[Sales]]</f>
        <v>0.35678543563068921</v>
      </c>
    </row>
    <row r="164" spans="1:15" x14ac:dyDescent="0.25">
      <c r="A164" t="s">
        <v>201</v>
      </c>
      <c r="B164" s="1">
        <v>45484</v>
      </c>
      <c r="C164" t="s">
        <v>41</v>
      </c>
      <c r="D164" t="s">
        <v>22</v>
      </c>
      <c r="E164" t="s">
        <v>34</v>
      </c>
      <c r="F164" t="s">
        <v>53</v>
      </c>
      <c r="G164">
        <v>9</v>
      </c>
      <c r="H164">
        <v>394</v>
      </c>
      <c r="I164">
        <v>3546</v>
      </c>
      <c r="J164">
        <v>1915.02</v>
      </c>
      <c r="K164">
        <v>1630.98</v>
      </c>
      <c r="L164" t="s">
        <v>18</v>
      </c>
      <c r="M164" t="s">
        <v>30</v>
      </c>
      <c r="N164" t="str">
        <f>TEXT(SalesData[[#This Row],[Order Date]],"MMM-YYYY")</f>
        <v>Jul-2024</v>
      </c>
      <c r="O164" s="2">
        <f>SalesData[[#This Row],[Profit]]/SalesData[[#This Row],[Sales]]</f>
        <v>0.4599492385786802</v>
      </c>
    </row>
    <row r="165" spans="1:15" x14ac:dyDescent="0.25">
      <c r="A165" t="s">
        <v>202</v>
      </c>
      <c r="B165" s="1">
        <v>45477</v>
      </c>
      <c r="C165" t="s">
        <v>14</v>
      </c>
      <c r="D165" t="s">
        <v>22</v>
      </c>
      <c r="E165" t="s">
        <v>23</v>
      </c>
      <c r="F165" t="s">
        <v>39</v>
      </c>
      <c r="G165">
        <v>6</v>
      </c>
      <c r="H165">
        <v>607</v>
      </c>
      <c r="I165">
        <v>3642</v>
      </c>
      <c r="J165">
        <v>2113.0300000000002</v>
      </c>
      <c r="K165">
        <v>1528.97</v>
      </c>
      <c r="L165" t="s">
        <v>25</v>
      </c>
      <c r="M165" t="s">
        <v>44</v>
      </c>
      <c r="N165" t="str">
        <f>TEXT(SalesData[[#This Row],[Order Date]],"MMM-YYYY")</f>
        <v>Jul-2024</v>
      </c>
      <c r="O165" s="2">
        <f>SalesData[[#This Row],[Profit]]/SalesData[[#This Row],[Sales]]</f>
        <v>0.41981603514552446</v>
      </c>
    </row>
    <row r="166" spans="1:15" x14ac:dyDescent="0.25">
      <c r="A166" t="s">
        <v>203</v>
      </c>
      <c r="B166" s="1">
        <v>45513</v>
      </c>
      <c r="C166" t="s">
        <v>21</v>
      </c>
      <c r="D166" t="s">
        <v>15</v>
      </c>
      <c r="E166" t="s">
        <v>23</v>
      </c>
      <c r="F166" t="s">
        <v>24</v>
      </c>
      <c r="G166">
        <v>10</v>
      </c>
      <c r="H166">
        <v>623</v>
      </c>
      <c r="I166">
        <v>6230</v>
      </c>
      <c r="J166">
        <v>3679.9</v>
      </c>
      <c r="K166">
        <v>2550.1</v>
      </c>
      <c r="L166" t="s">
        <v>18</v>
      </c>
      <c r="M166" t="s">
        <v>26</v>
      </c>
      <c r="N166" t="str">
        <f>TEXT(SalesData[[#This Row],[Order Date]],"MMM-YYYY")</f>
        <v>Aug-2024</v>
      </c>
      <c r="O166" s="2">
        <f>SalesData[[#This Row],[Profit]]/SalesData[[#This Row],[Sales]]</f>
        <v>0.40932584269662919</v>
      </c>
    </row>
    <row r="167" spans="1:15" x14ac:dyDescent="0.25">
      <c r="A167" t="s">
        <v>204</v>
      </c>
      <c r="B167" s="1">
        <v>45320</v>
      </c>
      <c r="C167" t="s">
        <v>38</v>
      </c>
      <c r="D167" t="s">
        <v>28</v>
      </c>
      <c r="E167" t="s">
        <v>16</v>
      </c>
      <c r="F167" t="s">
        <v>17</v>
      </c>
      <c r="G167">
        <v>5</v>
      </c>
      <c r="H167">
        <v>888</v>
      </c>
      <c r="I167">
        <v>4440</v>
      </c>
      <c r="J167">
        <v>3470.47</v>
      </c>
      <c r="K167">
        <v>969.53</v>
      </c>
      <c r="L167" t="s">
        <v>25</v>
      </c>
      <c r="M167" t="s">
        <v>44</v>
      </c>
      <c r="N167" t="str">
        <f>TEXT(SalesData[[#This Row],[Order Date]],"MMM-YYYY")</f>
        <v>Jan-2024</v>
      </c>
      <c r="O167" s="2">
        <f>SalesData[[#This Row],[Profit]]/SalesData[[#This Row],[Sales]]</f>
        <v>0.21836261261261261</v>
      </c>
    </row>
    <row r="168" spans="1:15" x14ac:dyDescent="0.25">
      <c r="A168" t="s">
        <v>205</v>
      </c>
      <c r="B168" s="1">
        <v>45434</v>
      </c>
      <c r="C168" t="s">
        <v>21</v>
      </c>
      <c r="D168" t="s">
        <v>15</v>
      </c>
      <c r="E168" t="s">
        <v>16</v>
      </c>
      <c r="F168" t="s">
        <v>17</v>
      </c>
      <c r="G168">
        <v>7</v>
      </c>
      <c r="H168">
        <v>986</v>
      </c>
      <c r="I168">
        <v>6902</v>
      </c>
      <c r="J168">
        <v>5090.5600000000004</v>
      </c>
      <c r="K168">
        <v>1811.44</v>
      </c>
      <c r="L168" t="s">
        <v>18</v>
      </c>
      <c r="M168" t="s">
        <v>30</v>
      </c>
      <c r="N168" t="str">
        <f>TEXT(SalesData[[#This Row],[Order Date]],"MMM-YYYY")</f>
        <v>May-2024</v>
      </c>
      <c r="O168" s="2">
        <f>SalesData[[#This Row],[Profit]]/SalesData[[#This Row],[Sales]]</f>
        <v>0.2624514633439583</v>
      </c>
    </row>
    <row r="169" spans="1:15" x14ac:dyDescent="0.25">
      <c r="A169" t="s">
        <v>206</v>
      </c>
      <c r="B169" s="1">
        <v>45490</v>
      </c>
      <c r="C169" t="s">
        <v>21</v>
      </c>
      <c r="D169" t="s">
        <v>15</v>
      </c>
      <c r="E169" t="s">
        <v>16</v>
      </c>
      <c r="F169" t="s">
        <v>29</v>
      </c>
      <c r="G169">
        <v>8</v>
      </c>
      <c r="H169">
        <v>611</v>
      </c>
      <c r="I169">
        <v>4888</v>
      </c>
      <c r="J169">
        <v>3293.2</v>
      </c>
      <c r="K169">
        <v>1594.8</v>
      </c>
      <c r="L169" t="s">
        <v>18</v>
      </c>
      <c r="M169" t="s">
        <v>26</v>
      </c>
      <c r="N169" t="str">
        <f>TEXT(SalesData[[#This Row],[Order Date]],"MMM-YYYY")</f>
        <v>Jul-2024</v>
      </c>
      <c r="O169" s="2">
        <f>SalesData[[#This Row],[Profit]]/SalesData[[#This Row],[Sales]]</f>
        <v>0.3262684124386252</v>
      </c>
    </row>
    <row r="170" spans="1:15" x14ac:dyDescent="0.25">
      <c r="A170" t="s">
        <v>207</v>
      </c>
      <c r="B170" s="1">
        <v>45316</v>
      </c>
      <c r="C170" t="s">
        <v>21</v>
      </c>
      <c r="D170" t="s">
        <v>42</v>
      </c>
      <c r="E170" t="s">
        <v>34</v>
      </c>
      <c r="F170" t="s">
        <v>53</v>
      </c>
      <c r="G170">
        <v>5</v>
      </c>
      <c r="H170">
        <v>575</v>
      </c>
      <c r="I170">
        <v>2875</v>
      </c>
      <c r="J170">
        <v>1847.31</v>
      </c>
      <c r="K170">
        <v>1027.69</v>
      </c>
      <c r="L170" t="s">
        <v>18</v>
      </c>
      <c r="M170" t="s">
        <v>30</v>
      </c>
      <c r="N170" t="str">
        <f>TEXT(SalesData[[#This Row],[Order Date]],"MMM-YYYY")</f>
        <v>Jan-2024</v>
      </c>
      <c r="O170" s="2">
        <f>SalesData[[#This Row],[Profit]]/SalesData[[#This Row],[Sales]]</f>
        <v>0.35745739130434784</v>
      </c>
    </row>
    <row r="171" spans="1:15" x14ac:dyDescent="0.25">
      <c r="A171" t="s">
        <v>208</v>
      </c>
      <c r="B171" s="1">
        <v>45408</v>
      </c>
      <c r="C171" t="s">
        <v>41</v>
      </c>
      <c r="D171" t="s">
        <v>22</v>
      </c>
      <c r="E171" t="s">
        <v>16</v>
      </c>
      <c r="F171" t="s">
        <v>64</v>
      </c>
      <c r="G171">
        <v>4</v>
      </c>
      <c r="H171">
        <v>804</v>
      </c>
      <c r="I171">
        <v>3216</v>
      </c>
      <c r="J171">
        <v>2467.4299999999998</v>
      </c>
      <c r="K171">
        <v>748.57</v>
      </c>
      <c r="L171" t="s">
        <v>18</v>
      </c>
      <c r="M171" t="s">
        <v>30</v>
      </c>
      <c r="N171" t="str">
        <f>TEXT(SalesData[[#This Row],[Order Date]],"MMM-YYYY")</f>
        <v>Apr-2024</v>
      </c>
      <c r="O171" s="2">
        <f>SalesData[[#This Row],[Profit]]/SalesData[[#This Row],[Sales]]</f>
        <v>0.23276430348258709</v>
      </c>
    </row>
    <row r="172" spans="1:15" x14ac:dyDescent="0.25">
      <c r="A172" t="s">
        <v>209</v>
      </c>
      <c r="B172" s="1">
        <v>45547</v>
      </c>
      <c r="C172" t="s">
        <v>14</v>
      </c>
      <c r="D172" t="s">
        <v>22</v>
      </c>
      <c r="E172" t="s">
        <v>23</v>
      </c>
      <c r="F172" t="s">
        <v>39</v>
      </c>
      <c r="G172">
        <v>4</v>
      </c>
      <c r="H172">
        <v>578</v>
      </c>
      <c r="I172">
        <v>2312</v>
      </c>
      <c r="J172">
        <v>1662.19</v>
      </c>
      <c r="K172">
        <v>649.80999999999995</v>
      </c>
      <c r="L172" t="s">
        <v>25</v>
      </c>
      <c r="M172" t="s">
        <v>44</v>
      </c>
      <c r="N172" t="str">
        <f>TEXT(SalesData[[#This Row],[Order Date]],"MMM-YYYY")</f>
        <v>Sep-2024</v>
      </c>
      <c r="O172" s="2">
        <f>SalesData[[#This Row],[Profit]]/SalesData[[#This Row],[Sales]]</f>
        <v>0.28105968858131486</v>
      </c>
    </row>
    <row r="173" spans="1:15" x14ac:dyDescent="0.25">
      <c r="A173" t="s">
        <v>210</v>
      </c>
      <c r="B173" s="1">
        <v>45385</v>
      </c>
      <c r="C173" t="s">
        <v>21</v>
      </c>
      <c r="D173" t="s">
        <v>22</v>
      </c>
      <c r="E173" t="s">
        <v>34</v>
      </c>
      <c r="F173" t="s">
        <v>47</v>
      </c>
      <c r="G173">
        <v>8</v>
      </c>
      <c r="H173">
        <v>238</v>
      </c>
      <c r="I173">
        <v>1904</v>
      </c>
      <c r="J173">
        <v>1028.67</v>
      </c>
      <c r="K173">
        <v>875.33</v>
      </c>
      <c r="L173" t="s">
        <v>25</v>
      </c>
      <c r="M173" t="s">
        <v>30</v>
      </c>
      <c r="N173" t="str">
        <f>TEXT(SalesData[[#This Row],[Order Date]],"MMM-YYYY")</f>
        <v>Apr-2024</v>
      </c>
      <c r="O173" s="2">
        <f>SalesData[[#This Row],[Profit]]/SalesData[[#This Row],[Sales]]</f>
        <v>0.45973214285714287</v>
      </c>
    </row>
    <row r="174" spans="1:15" x14ac:dyDescent="0.25">
      <c r="A174" t="s">
        <v>211</v>
      </c>
      <c r="B174" s="1">
        <v>45487</v>
      </c>
      <c r="C174" t="s">
        <v>21</v>
      </c>
      <c r="D174" t="s">
        <v>22</v>
      </c>
      <c r="E174" t="s">
        <v>34</v>
      </c>
      <c r="F174" t="s">
        <v>53</v>
      </c>
      <c r="G174">
        <v>6</v>
      </c>
      <c r="H174">
        <v>947</v>
      </c>
      <c r="I174">
        <v>5682</v>
      </c>
      <c r="J174">
        <v>3767.49</v>
      </c>
      <c r="K174">
        <v>1914.51</v>
      </c>
      <c r="L174" t="s">
        <v>25</v>
      </c>
      <c r="M174" t="s">
        <v>44</v>
      </c>
      <c r="N174" t="str">
        <f>TEXT(SalesData[[#This Row],[Order Date]],"MMM-YYYY")</f>
        <v>Jul-2024</v>
      </c>
      <c r="O174" s="2">
        <f>SalesData[[#This Row],[Profit]]/SalesData[[#This Row],[Sales]]</f>
        <v>0.33694297782470961</v>
      </c>
    </row>
    <row r="175" spans="1:15" x14ac:dyDescent="0.25">
      <c r="A175" t="s">
        <v>212</v>
      </c>
      <c r="B175" s="1">
        <v>45558</v>
      </c>
      <c r="C175" t="s">
        <v>14</v>
      </c>
      <c r="D175" t="s">
        <v>42</v>
      </c>
      <c r="E175" t="s">
        <v>34</v>
      </c>
      <c r="F175" t="s">
        <v>53</v>
      </c>
      <c r="G175">
        <v>4</v>
      </c>
      <c r="H175">
        <v>630</v>
      </c>
      <c r="I175">
        <v>2520</v>
      </c>
      <c r="J175">
        <v>1982.41</v>
      </c>
      <c r="K175">
        <v>537.59</v>
      </c>
      <c r="L175" t="s">
        <v>18</v>
      </c>
      <c r="M175" t="s">
        <v>26</v>
      </c>
      <c r="N175" t="str">
        <f>TEXT(SalesData[[#This Row],[Order Date]],"MMM-YYYY")</f>
        <v>Sep-2024</v>
      </c>
      <c r="O175" s="2">
        <f>SalesData[[#This Row],[Profit]]/SalesData[[#This Row],[Sales]]</f>
        <v>0.21332936507936509</v>
      </c>
    </row>
    <row r="176" spans="1:15" x14ac:dyDescent="0.25">
      <c r="A176" t="s">
        <v>213</v>
      </c>
      <c r="B176" s="1">
        <v>45583</v>
      </c>
      <c r="C176" t="s">
        <v>14</v>
      </c>
      <c r="D176" t="s">
        <v>28</v>
      </c>
      <c r="E176" t="s">
        <v>34</v>
      </c>
      <c r="F176" t="s">
        <v>47</v>
      </c>
      <c r="G176">
        <v>7</v>
      </c>
      <c r="H176">
        <v>455</v>
      </c>
      <c r="I176">
        <v>3185</v>
      </c>
      <c r="J176">
        <v>2051.44</v>
      </c>
      <c r="K176">
        <v>1133.56</v>
      </c>
      <c r="L176" t="s">
        <v>18</v>
      </c>
      <c r="M176" t="s">
        <v>26</v>
      </c>
      <c r="N176" t="str">
        <f>TEXT(SalesData[[#This Row],[Order Date]],"MMM-YYYY")</f>
        <v>Oct-2024</v>
      </c>
      <c r="O176" s="2">
        <f>SalesData[[#This Row],[Profit]]/SalesData[[#This Row],[Sales]]</f>
        <v>0.35590580847723702</v>
      </c>
    </row>
    <row r="177" spans="1:15" x14ac:dyDescent="0.25">
      <c r="A177" t="s">
        <v>214</v>
      </c>
      <c r="B177" s="1">
        <v>45520</v>
      </c>
      <c r="C177" t="s">
        <v>41</v>
      </c>
      <c r="D177" t="s">
        <v>28</v>
      </c>
      <c r="E177" t="s">
        <v>34</v>
      </c>
      <c r="F177" t="s">
        <v>53</v>
      </c>
      <c r="G177">
        <v>4</v>
      </c>
      <c r="H177">
        <v>381</v>
      </c>
      <c r="I177">
        <v>1524</v>
      </c>
      <c r="J177">
        <v>865.71</v>
      </c>
      <c r="K177">
        <v>658.29</v>
      </c>
      <c r="L177" t="s">
        <v>25</v>
      </c>
      <c r="M177" t="s">
        <v>19</v>
      </c>
      <c r="N177" t="str">
        <f>TEXT(SalesData[[#This Row],[Order Date]],"MMM-YYYY")</f>
        <v>Aug-2024</v>
      </c>
      <c r="O177" s="2">
        <f>SalesData[[#This Row],[Profit]]/SalesData[[#This Row],[Sales]]</f>
        <v>0.43194881889763775</v>
      </c>
    </row>
    <row r="178" spans="1:15" x14ac:dyDescent="0.25">
      <c r="A178" t="s">
        <v>215</v>
      </c>
      <c r="B178" s="1">
        <v>45306</v>
      </c>
      <c r="C178" t="s">
        <v>21</v>
      </c>
      <c r="D178" t="s">
        <v>15</v>
      </c>
      <c r="E178" t="s">
        <v>23</v>
      </c>
      <c r="F178" t="s">
        <v>39</v>
      </c>
      <c r="G178">
        <v>1</v>
      </c>
      <c r="H178">
        <v>274</v>
      </c>
      <c r="I178">
        <v>274</v>
      </c>
      <c r="J178">
        <v>158.93</v>
      </c>
      <c r="K178">
        <v>115.07</v>
      </c>
      <c r="L178" t="s">
        <v>18</v>
      </c>
      <c r="M178" t="s">
        <v>26</v>
      </c>
      <c r="N178" t="str">
        <f>TEXT(SalesData[[#This Row],[Order Date]],"MMM-YYYY")</f>
        <v>Jan-2024</v>
      </c>
      <c r="O178" s="2">
        <f>SalesData[[#This Row],[Profit]]/SalesData[[#This Row],[Sales]]</f>
        <v>0.41996350364963503</v>
      </c>
    </row>
    <row r="179" spans="1:15" x14ac:dyDescent="0.25">
      <c r="A179" t="s">
        <v>216</v>
      </c>
      <c r="B179" s="1">
        <v>45511</v>
      </c>
      <c r="C179" t="s">
        <v>21</v>
      </c>
      <c r="D179" t="s">
        <v>22</v>
      </c>
      <c r="E179" t="s">
        <v>23</v>
      </c>
      <c r="F179" t="s">
        <v>24</v>
      </c>
      <c r="G179">
        <v>2</v>
      </c>
      <c r="H179">
        <v>408</v>
      </c>
      <c r="I179">
        <v>816</v>
      </c>
      <c r="J179">
        <v>467.86</v>
      </c>
      <c r="K179">
        <v>348.14</v>
      </c>
      <c r="L179" t="s">
        <v>25</v>
      </c>
      <c r="M179" t="s">
        <v>44</v>
      </c>
      <c r="N179" t="str">
        <f>TEXT(SalesData[[#This Row],[Order Date]],"MMM-YYYY")</f>
        <v>Aug-2024</v>
      </c>
      <c r="O179" s="2">
        <f>SalesData[[#This Row],[Profit]]/SalesData[[#This Row],[Sales]]</f>
        <v>0.42664215686274509</v>
      </c>
    </row>
    <row r="180" spans="1:15" x14ac:dyDescent="0.25">
      <c r="A180" t="s">
        <v>217</v>
      </c>
      <c r="B180" s="1">
        <v>45427</v>
      </c>
      <c r="C180" t="s">
        <v>14</v>
      </c>
      <c r="D180" t="s">
        <v>15</v>
      </c>
      <c r="E180" t="s">
        <v>23</v>
      </c>
      <c r="F180" t="s">
        <v>24</v>
      </c>
      <c r="G180">
        <v>2</v>
      </c>
      <c r="H180">
        <v>659</v>
      </c>
      <c r="I180">
        <v>1318</v>
      </c>
      <c r="J180">
        <v>828.29</v>
      </c>
      <c r="K180">
        <v>489.71</v>
      </c>
      <c r="L180" t="s">
        <v>18</v>
      </c>
      <c r="M180" t="s">
        <v>19</v>
      </c>
      <c r="N180" t="str">
        <f>TEXT(SalesData[[#This Row],[Order Date]],"MMM-YYYY")</f>
        <v>May-2024</v>
      </c>
      <c r="O180" s="2">
        <f>SalesData[[#This Row],[Profit]]/SalesData[[#This Row],[Sales]]</f>
        <v>0.37155538694992413</v>
      </c>
    </row>
    <row r="181" spans="1:15" x14ac:dyDescent="0.25">
      <c r="A181" t="s">
        <v>218</v>
      </c>
      <c r="B181" s="1">
        <v>45430</v>
      </c>
      <c r="C181" t="s">
        <v>38</v>
      </c>
      <c r="D181" t="s">
        <v>22</v>
      </c>
      <c r="E181" t="s">
        <v>34</v>
      </c>
      <c r="F181" t="s">
        <v>47</v>
      </c>
      <c r="G181">
        <v>1</v>
      </c>
      <c r="H181">
        <v>288</v>
      </c>
      <c r="I181">
        <v>288</v>
      </c>
      <c r="J181">
        <v>229.38</v>
      </c>
      <c r="K181">
        <v>58.62</v>
      </c>
      <c r="L181" t="s">
        <v>25</v>
      </c>
      <c r="M181" t="s">
        <v>44</v>
      </c>
      <c r="N181" t="str">
        <f>TEXT(SalesData[[#This Row],[Order Date]],"MMM-YYYY")</f>
        <v>May-2024</v>
      </c>
      <c r="O181" s="2">
        <f>SalesData[[#This Row],[Profit]]/SalesData[[#This Row],[Sales]]</f>
        <v>0.20354166666666665</v>
      </c>
    </row>
    <row r="182" spans="1:15" x14ac:dyDescent="0.25">
      <c r="A182" t="s">
        <v>219</v>
      </c>
      <c r="B182" s="1">
        <v>45466</v>
      </c>
      <c r="C182" t="s">
        <v>41</v>
      </c>
      <c r="D182" t="s">
        <v>28</v>
      </c>
      <c r="E182" t="s">
        <v>23</v>
      </c>
      <c r="F182" t="s">
        <v>39</v>
      </c>
      <c r="G182">
        <v>10</v>
      </c>
      <c r="H182">
        <v>587</v>
      </c>
      <c r="I182">
        <v>5870</v>
      </c>
      <c r="J182">
        <v>4343.2700000000004</v>
      </c>
      <c r="K182">
        <v>1526.73</v>
      </c>
      <c r="L182" t="s">
        <v>18</v>
      </c>
      <c r="M182" t="s">
        <v>26</v>
      </c>
      <c r="N182" t="str">
        <f>TEXT(SalesData[[#This Row],[Order Date]],"MMM-YYYY")</f>
        <v>Jun-2024</v>
      </c>
      <c r="O182" s="2">
        <f>SalesData[[#This Row],[Profit]]/SalesData[[#This Row],[Sales]]</f>
        <v>0.26009028960817715</v>
      </c>
    </row>
    <row r="183" spans="1:15" x14ac:dyDescent="0.25">
      <c r="A183" t="s">
        <v>220</v>
      </c>
      <c r="B183" s="1">
        <v>45592</v>
      </c>
      <c r="C183" t="s">
        <v>14</v>
      </c>
      <c r="D183" t="s">
        <v>15</v>
      </c>
      <c r="E183" t="s">
        <v>34</v>
      </c>
      <c r="F183" t="s">
        <v>35</v>
      </c>
      <c r="G183">
        <v>6</v>
      </c>
      <c r="H183">
        <v>380</v>
      </c>
      <c r="I183">
        <v>2280</v>
      </c>
      <c r="J183">
        <v>1636.3</v>
      </c>
      <c r="K183">
        <v>643.70000000000005</v>
      </c>
      <c r="L183" t="s">
        <v>25</v>
      </c>
      <c r="M183" t="s">
        <v>19</v>
      </c>
      <c r="N183" t="str">
        <f>TEXT(SalesData[[#This Row],[Order Date]],"MMM-YYYY")</f>
        <v>Oct-2024</v>
      </c>
      <c r="O183" s="2">
        <f>SalesData[[#This Row],[Profit]]/SalesData[[#This Row],[Sales]]</f>
        <v>0.28232456140350881</v>
      </c>
    </row>
    <row r="184" spans="1:15" x14ac:dyDescent="0.25">
      <c r="A184" t="s">
        <v>221</v>
      </c>
      <c r="B184" s="1">
        <v>45303</v>
      </c>
      <c r="C184" t="s">
        <v>14</v>
      </c>
      <c r="D184" t="s">
        <v>15</v>
      </c>
      <c r="E184" t="s">
        <v>16</v>
      </c>
      <c r="F184" t="s">
        <v>29</v>
      </c>
      <c r="G184">
        <v>3</v>
      </c>
      <c r="H184">
        <v>813</v>
      </c>
      <c r="I184">
        <v>2439</v>
      </c>
      <c r="J184">
        <v>1751.42</v>
      </c>
      <c r="K184">
        <v>687.58</v>
      </c>
      <c r="L184" t="s">
        <v>18</v>
      </c>
      <c r="M184" t="s">
        <v>30</v>
      </c>
      <c r="N184" t="str">
        <f>TEXT(SalesData[[#This Row],[Order Date]],"MMM-YYYY")</f>
        <v>Jan-2024</v>
      </c>
      <c r="O184" s="2">
        <f>SalesData[[#This Row],[Profit]]/SalesData[[#This Row],[Sales]]</f>
        <v>0.28191061910619108</v>
      </c>
    </row>
    <row r="185" spans="1:15" x14ac:dyDescent="0.25">
      <c r="A185" t="s">
        <v>222</v>
      </c>
      <c r="B185" s="1">
        <v>45570</v>
      </c>
      <c r="C185" t="s">
        <v>38</v>
      </c>
      <c r="D185" t="s">
        <v>22</v>
      </c>
      <c r="E185" t="s">
        <v>23</v>
      </c>
      <c r="F185" t="s">
        <v>43</v>
      </c>
      <c r="G185">
        <v>8</v>
      </c>
      <c r="H185">
        <v>29</v>
      </c>
      <c r="I185">
        <v>232</v>
      </c>
      <c r="J185">
        <v>134.41</v>
      </c>
      <c r="K185">
        <v>97.59</v>
      </c>
      <c r="L185" t="s">
        <v>25</v>
      </c>
      <c r="M185" t="s">
        <v>30</v>
      </c>
      <c r="N185" t="str">
        <f>TEXT(SalesData[[#This Row],[Order Date]],"MMM-YYYY")</f>
        <v>Oct-2024</v>
      </c>
      <c r="O185" s="2">
        <f>SalesData[[#This Row],[Profit]]/SalesData[[#This Row],[Sales]]</f>
        <v>0.42064655172413795</v>
      </c>
    </row>
    <row r="186" spans="1:15" x14ac:dyDescent="0.25">
      <c r="A186" t="s">
        <v>223</v>
      </c>
      <c r="B186" s="1">
        <v>45351</v>
      </c>
      <c r="C186" t="s">
        <v>21</v>
      </c>
      <c r="D186" t="s">
        <v>28</v>
      </c>
      <c r="E186" t="s">
        <v>16</v>
      </c>
      <c r="F186" t="s">
        <v>64</v>
      </c>
      <c r="G186">
        <v>3</v>
      </c>
      <c r="H186">
        <v>652</v>
      </c>
      <c r="I186">
        <v>1956</v>
      </c>
      <c r="J186">
        <v>1194.01</v>
      </c>
      <c r="K186">
        <v>761.99</v>
      </c>
      <c r="L186" t="s">
        <v>25</v>
      </c>
      <c r="M186" t="s">
        <v>26</v>
      </c>
      <c r="N186" t="str">
        <f>TEXT(SalesData[[#This Row],[Order Date]],"MMM-YYYY")</f>
        <v>Feb-2024</v>
      </c>
      <c r="O186" s="2">
        <f>SalesData[[#This Row],[Profit]]/SalesData[[#This Row],[Sales]]</f>
        <v>0.38956543967280166</v>
      </c>
    </row>
    <row r="187" spans="1:15" x14ac:dyDescent="0.25">
      <c r="A187" t="s">
        <v>224</v>
      </c>
      <c r="B187" s="1">
        <v>45374</v>
      </c>
      <c r="C187" t="s">
        <v>14</v>
      </c>
      <c r="D187" t="s">
        <v>15</v>
      </c>
      <c r="E187" t="s">
        <v>16</v>
      </c>
      <c r="F187" t="s">
        <v>64</v>
      </c>
      <c r="G187">
        <v>3</v>
      </c>
      <c r="H187">
        <v>539</v>
      </c>
      <c r="I187">
        <v>1617</v>
      </c>
      <c r="J187">
        <v>1159.42</v>
      </c>
      <c r="K187">
        <v>457.58</v>
      </c>
      <c r="L187" t="s">
        <v>18</v>
      </c>
      <c r="M187" t="s">
        <v>19</v>
      </c>
      <c r="N187" t="str">
        <f>TEXT(SalesData[[#This Row],[Order Date]],"MMM-YYYY")</f>
        <v>Mar-2024</v>
      </c>
      <c r="O187" s="2">
        <f>SalesData[[#This Row],[Profit]]/SalesData[[#This Row],[Sales]]</f>
        <v>0.28298082869511437</v>
      </c>
    </row>
    <row r="188" spans="1:15" x14ac:dyDescent="0.25">
      <c r="A188" t="s">
        <v>225</v>
      </c>
      <c r="B188" s="1">
        <v>45470</v>
      </c>
      <c r="C188" t="s">
        <v>21</v>
      </c>
      <c r="D188" t="s">
        <v>22</v>
      </c>
      <c r="E188" t="s">
        <v>23</v>
      </c>
      <c r="F188" t="s">
        <v>43</v>
      </c>
      <c r="G188">
        <v>2</v>
      </c>
      <c r="H188">
        <v>654</v>
      </c>
      <c r="I188">
        <v>1308</v>
      </c>
      <c r="J188">
        <v>821.35</v>
      </c>
      <c r="K188">
        <v>486.65</v>
      </c>
      <c r="L188" t="s">
        <v>25</v>
      </c>
      <c r="M188" t="s">
        <v>19</v>
      </c>
      <c r="N188" t="str">
        <f>TEXT(SalesData[[#This Row],[Order Date]],"MMM-YYYY")</f>
        <v>Jun-2024</v>
      </c>
      <c r="O188" s="2">
        <f>SalesData[[#This Row],[Profit]]/SalesData[[#This Row],[Sales]]</f>
        <v>0.37205657492354738</v>
      </c>
    </row>
    <row r="189" spans="1:15" x14ac:dyDescent="0.25">
      <c r="A189" t="s">
        <v>226</v>
      </c>
      <c r="B189" s="1">
        <v>45333</v>
      </c>
      <c r="C189" t="s">
        <v>38</v>
      </c>
      <c r="D189" t="s">
        <v>15</v>
      </c>
      <c r="E189" t="s">
        <v>34</v>
      </c>
      <c r="F189" t="s">
        <v>53</v>
      </c>
      <c r="G189">
        <v>8</v>
      </c>
      <c r="H189">
        <v>129</v>
      </c>
      <c r="I189">
        <v>1032</v>
      </c>
      <c r="J189">
        <v>627.08000000000004</v>
      </c>
      <c r="K189">
        <v>404.92</v>
      </c>
      <c r="L189" t="s">
        <v>25</v>
      </c>
      <c r="M189" t="s">
        <v>19</v>
      </c>
      <c r="N189" t="str">
        <f>TEXT(SalesData[[#This Row],[Order Date]],"MMM-YYYY")</f>
        <v>Feb-2024</v>
      </c>
      <c r="O189" s="2">
        <f>SalesData[[#This Row],[Profit]]/SalesData[[#This Row],[Sales]]</f>
        <v>0.39236434108527135</v>
      </c>
    </row>
    <row r="190" spans="1:15" x14ac:dyDescent="0.25">
      <c r="A190" t="s">
        <v>227</v>
      </c>
      <c r="B190" s="1">
        <v>45543</v>
      </c>
      <c r="C190" t="s">
        <v>38</v>
      </c>
      <c r="D190" t="s">
        <v>15</v>
      </c>
      <c r="E190" t="s">
        <v>16</v>
      </c>
      <c r="F190" t="s">
        <v>64</v>
      </c>
      <c r="G190">
        <v>5</v>
      </c>
      <c r="H190">
        <v>298</v>
      </c>
      <c r="I190">
        <v>1490</v>
      </c>
      <c r="J190">
        <v>1081.78</v>
      </c>
      <c r="K190">
        <v>408.22</v>
      </c>
      <c r="L190" t="s">
        <v>25</v>
      </c>
      <c r="M190" t="s">
        <v>19</v>
      </c>
      <c r="N190" t="str">
        <f>TEXT(SalesData[[#This Row],[Order Date]],"MMM-YYYY")</f>
        <v>Sep-2024</v>
      </c>
      <c r="O190" s="2">
        <f>SalesData[[#This Row],[Profit]]/SalesData[[#This Row],[Sales]]</f>
        <v>0.27397315436241615</v>
      </c>
    </row>
    <row r="191" spans="1:15" x14ac:dyDescent="0.25">
      <c r="A191" t="s">
        <v>228</v>
      </c>
      <c r="B191" s="1">
        <v>45541</v>
      </c>
      <c r="C191" t="s">
        <v>21</v>
      </c>
      <c r="D191" t="s">
        <v>22</v>
      </c>
      <c r="E191" t="s">
        <v>16</v>
      </c>
      <c r="F191" t="s">
        <v>64</v>
      </c>
      <c r="G191">
        <v>4</v>
      </c>
      <c r="H191">
        <v>636</v>
      </c>
      <c r="I191">
        <v>2544</v>
      </c>
      <c r="J191">
        <v>1717.88</v>
      </c>
      <c r="K191">
        <v>826.12</v>
      </c>
      <c r="L191" t="s">
        <v>25</v>
      </c>
      <c r="M191" t="s">
        <v>26</v>
      </c>
      <c r="N191" t="str">
        <f>TEXT(SalesData[[#This Row],[Order Date]],"MMM-YYYY")</f>
        <v>Sep-2024</v>
      </c>
      <c r="O191" s="2">
        <f>SalesData[[#This Row],[Profit]]/SalesData[[#This Row],[Sales]]</f>
        <v>0.32473270440251573</v>
      </c>
    </row>
    <row r="192" spans="1:15" x14ac:dyDescent="0.25">
      <c r="A192" t="s">
        <v>229</v>
      </c>
      <c r="B192" s="1">
        <v>45350</v>
      </c>
      <c r="C192" t="s">
        <v>21</v>
      </c>
      <c r="D192" t="s">
        <v>42</v>
      </c>
      <c r="E192" t="s">
        <v>34</v>
      </c>
      <c r="F192" t="s">
        <v>53</v>
      </c>
      <c r="G192">
        <v>4</v>
      </c>
      <c r="H192">
        <v>340</v>
      </c>
      <c r="I192">
        <v>1360</v>
      </c>
      <c r="J192">
        <v>927.41</v>
      </c>
      <c r="K192">
        <v>432.59</v>
      </c>
      <c r="L192" t="s">
        <v>25</v>
      </c>
      <c r="M192" t="s">
        <v>30</v>
      </c>
      <c r="N192" t="str">
        <f>TEXT(SalesData[[#This Row],[Order Date]],"MMM-YYYY")</f>
        <v>Feb-2024</v>
      </c>
      <c r="O192" s="2">
        <f>SalesData[[#This Row],[Profit]]/SalesData[[#This Row],[Sales]]</f>
        <v>0.31808088235294119</v>
      </c>
    </row>
    <row r="193" spans="1:15" x14ac:dyDescent="0.25">
      <c r="A193" t="s">
        <v>230</v>
      </c>
      <c r="B193" s="1">
        <v>45379</v>
      </c>
      <c r="C193" t="s">
        <v>41</v>
      </c>
      <c r="D193" t="s">
        <v>42</v>
      </c>
      <c r="E193" t="s">
        <v>34</v>
      </c>
      <c r="F193" t="s">
        <v>53</v>
      </c>
      <c r="G193">
        <v>5</v>
      </c>
      <c r="H193">
        <v>732</v>
      </c>
      <c r="I193">
        <v>3660</v>
      </c>
      <c r="J193">
        <v>1992.72</v>
      </c>
      <c r="K193">
        <v>1667.28</v>
      </c>
      <c r="L193" t="s">
        <v>18</v>
      </c>
      <c r="M193" t="s">
        <v>19</v>
      </c>
      <c r="N193" t="str">
        <f>TEXT(SalesData[[#This Row],[Order Date]],"MMM-YYYY")</f>
        <v>Mar-2024</v>
      </c>
      <c r="O193" s="2">
        <f>SalesData[[#This Row],[Profit]]/SalesData[[#This Row],[Sales]]</f>
        <v>0.45554098360655737</v>
      </c>
    </row>
    <row r="194" spans="1:15" x14ac:dyDescent="0.25">
      <c r="A194" t="s">
        <v>231</v>
      </c>
      <c r="B194" s="1">
        <v>45582</v>
      </c>
      <c r="C194" t="s">
        <v>38</v>
      </c>
      <c r="D194" t="s">
        <v>22</v>
      </c>
      <c r="E194" t="s">
        <v>34</v>
      </c>
      <c r="F194" t="s">
        <v>53</v>
      </c>
      <c r="G194">
        <v>2</v>
      </c>
      <c r="H194">
        <v>993</v>
      </c>
      <c r="I194">
        <v>1986</v>
      </c>
      <c r="J194">
        <v>1306.5899999999999</v>
      </c>
      <c r="K194">
        <v>679.41</v>
      </c>
      <c r="L194" t="s">
        <v>18</v>
      </c>
      <c r="M194" t="s">
        <v>26</v>
      </c>
      <c r="N194" t="str">
        <f>TEXT(SalesData[[#This Row],[Order Date]],"MMM-YYYY")</f>
        <v>Oct-2024</v>
      </c>
      <c r="O194" s="2">
        <f>SalesData[[#This Row],[Profit]]/SalesData[[#This Row],[Sales]]</f>
        <v>0.34209969788519634</v>
      </c>
    </row>
    <row r="195" spans="1:15" x14ac:dyDescent="0.25">
      <c r="A195" t="s">
        <v>232</v>
      </c>
      <c r="B195" s="1">
        <v>45397</v>
      </c>
      <c r="C195" t="s">
        <v>14</v>
      </c>
      <c r="D195" t="s">
        <v>15</v>
      </c>
      <c r="E195" t="s">
        <v>23</v>
      </c>
      <c r="F195" t="s">
        <v>43</v>
      </c>
      <c r="G195">
        <v>7</v>
      </c>
      <c r="H195">
        <v>930</v>
      </c>
      <c r="I195">
        <v>6510</v>
      </c>
      <c r="J195">
        <v>4755.92</v>
      </c>
      <c r="K195">
        <v>1754.08</v>
      </c>
      <c r="L195" t="s">
        <v>18</v>
      </c>
      <c r="M195" t="s">
        <v>26</v>
      </c>
      <c r="N195" t="str">
        <f>TEXT(SalesData[[#This Row],[Order Date]],"MMM-YYYY")</f>
        <v>Apr-2024</v>
      </c>
      <c r="O195" s="2">
        <f>SalesData[[#This Row],[Profit]]/SalesData[[#This Row],[Sales]]</f>
        <v>0.26944393241167436</v>
      </c>
    </row>
    <row r="196" spans="1:15" x14ac:dyDescent="0.25">
      <c r="A196" t="s">
        <v>233</v>
      </c>
      <c r="B196" s="1">
        <v>45561</v>
      </c>
      <c r="C196" t="s">
        <v>38</v>
      </c>
      <c r="D196" t="s">
        <v>28</v>
      </c>
      <c r="E196" t="s">
        <v>23</v>
      </c>
      <c r="F196" t="s">
        <v>24</v>
      </c>
      <c r="G196">
        <v>2</v>
      </c>
      <c r="H196">
        <v>883</v>
      </c>
      <c r="I196">
        <v>1766</v>
      </c>
      <c r="J196">
        <v>1393.32</v>
      </c>
      <c r="K196">
        <v>372.68</v>
      </c>
      <c r="L196" t="s">
        <v>18</v>
      </c>
      <c r="M196" t="s">
        <v>26</v>
      </c>
      <c r="N196" t="str">
        <f>TEXT(SalesData[[#This Row],[Order Date]],"MMM-YYYY")</f>
        <v>Sep-2024</v>
      </c>
      <c r="O196" s="2">
        <f>SalesData[[#This Row],[Profit]]/SalesData[[#This Row],[Sales]]</f>
        <v>0.21103057757644395</v>
      </c>
    </row>
    <row r="197" spans="1:15" x14ac:dyDescent="0.25">
      <c r="A197" t="s">
        <v>234</v>
      </c>
      <c r="B197" s="1">
        <v>45399</v>
      </c>
      <c r="C197" t="s">
        <v>14</v>
      </c>
      <c r="D197" t="s">
        <v>42</v>
      </c>
      <c r="E197" t="s">
        <v>16</v>
      </c>
      <c r="F197" t="s">
        <v>64</v>
      </c>
      <c r="G197">
        <v>7</v>
      </c>
      <c r="H197">
        <v>203</v>
      </c>
      <c r="I197">
        <v>1421</v>
      </c>
      <c r="J197">
        <v>1083.25</v>
      </c>
      <c r="K197">
        <v>337.75</v>
      </c>
      <c r="L197" t="s">
        <v>18</v>
      </c>
      <c r="M197" t="s">
        <v>44</v>
      </c>
      <c r="N197" t="str">
        <f>TEXT(SalesData[[#This Row],[Order Date]],"MMM-YYYY")</f>
        <v>Apr-2024</v>
      </c>
      <c r="O197" s="2">
        <f>SalesData[[#This Row],[Profit]]/SalesData[[#This Row],[Sales]]</f>
        <v>0.2376847290640394</v>
      </c>
    </row>
    <row r="198" spans="1:15" x14ac:dyDescent="0.25">
      <c r="A198" t="s">
        <v>235</v>
      </c>
      <c r="B198" s="1">
        <v>45504</v>
      </c>
      <c r="C198" t="s">
        <v>21</v>
      </c>
      <c r="D198" t="s">
        <v>28</v>
      </c>
      <c r="E198" t="s">
        <v>16</v>
      </c>
      <c r="F198" t="s">
        <v>64</v>
      </c>
      <c r="G198">
        <v>6</v>
      </c>
      <c r="H198">
        <v>316</v>
      </c>
      <c r="I198">
        <v>1896</v>
      </c>
      <c r="J198">
        <v>1458.22</v>
      </c>
      <c r="K198">
        <v>437.78</v>
      </c>
      <c r="L198" t="s">
        <v>18</v>
      </c>
      <c r="M198" t="s">
        <v>26</v>
      </c>
      <c r="N198" t="str">
        <f>TEXT(SalesData[[#This Row],[Order Date]],"MMM-YYYY")</f>
        <v>Jul-2024</v>
      </c>
      <c r="O198" s="2">
        <f>SalesData[[#This Row],[Profit]]/SalesData[[#This Row],[Sales]]</f>
        <v>0.23089662447257384</v>
      </c>
    </row>
    <row r="199" spans="1:15" x14ac:dyDescent="0.25">
      <c r="A199" t="s">
        <v>236</v>
      </c>
      <c r="B199" s="1">
        <v>45583</v>
      </c>
      <c r="C199" t="s">
        <v>14</v>
      </c>
      <c r="D199" t="s">
        <v>42</v>
      </c>
      <c r="E199" t="s">
        <v>16</v>
      </c>
      <c r="F199" t="s">
        <v>17</v>
      </c>
      <c r="G199">
        <v>3</v>
      </c>
      <c r="H199">
        <v>628</v>
      </c>
      <c r="I199">
        <v>1884</v>
      </c>
      <c r="J199">
        <v>1151.6400000000001</v>
      </c>
      <c r="K199">
        <v>732.36</v>
      </c>
      <c r="L199" t="s">
        <v>18</v>
      </c>
      <c r="M199" t="s">
        <v>30</v>
      </c>
      <c r="N199" t="str">
        <f>TEXT(SalesData[[#This Row],[Order Date]],"MMM-YYYY")</f>
        <v>Oct-2024</v>
      </c>
      <c r="O199" s="2">
        <f>SalesData[[#This Row],[Profit]]/SalesData[[#This Row],[Sales]]</f>
        <v>0.38872611464968154</v>
      </c>
    </row>
    <row r="200" spans="1:15" x14ac:dyDescent="0.25">
      <c r="A200" t="s">
        <v>237</v>
      </c>
      <c r="B200" s="1">
        <v>45386</v>
      </c>
      <c r="C200" t="s">
        <v>21</v>
      </c>
      <c r="D200" t="s">
        <v>28</v>
      </c>
      <c r="E200" t="s">
        <v>16</v>
      </c>
      <c r="F200" t="s">
        <v>17</v>
      </c>
      <c r="G200">
        <v>5</v>
      </c>
      <c r="H200">
        <v>416</v>
      </c>
      <c r="I200">
        <v>2080</v>
      </c>
      <c r="J200">
        <v>1507.67</v>
      </c>
      <c r="K200">
        <v>572.33000000000004</v>
      </c>
      <c r="L200" t="s">
        <v>18</v>
      </c>
      <c r="M200" t="s">
        <v>19</v>
      </c>
      <c r="N200" t="str">
        <f>TEXT(SalesData[[#This Row],[Order Date]],"MMM-YYYY")</f>
        <v>Apr-2024</v>
      </c>
      <c r="O200" s="2">
        <f>SalesData[[#This Row],[Profit]]/SalesData[[#This Row],[Sales]]</f>
        <v>0.27515865384615384</v>
      </c>
    </row>
    <row r="201" spans="1:15" x14ac:dyDescent="0.25">
      <c r="A201" t="s">
        <v>238</v>
      </c>
      <c r="B201" s="1">
        <v>45437</v>
      </c>
      <c r="C201" t="s">
        <v>38</v>
      </c>
      <c r="D201" t="s">
        <v>22</v>
      </c>
      <c r="E201" t="s">
        <v>16</v>
      </c>
      <c r="F201" t="s">
        <v>29</v>
      </c>
      <c r="G201">
        <v>10</v>
      </c>
      <c r="H201">
        <v>712</v>
      </c>
      <c r="I201">
        <v>7120</v>
      </c>
      <c r="J201">
        <v>4025.52</v>
      </c>
      <c r="K201">
        <v>3094.48</v>
      </c>
      <c r="L201" t="s">
        <v>18</v>
      </c>
      <c r="M201" t="s">
        <v>30</v>
      </c>
      <c r="N201" t="str">
        <f>TEXT(SalesData[[#This Row],[Order Date]],"MMM-YYYY")</f>
        <v>May-2024</v>
      </c>
      <c r="O201" s="2">
        <f>SalesData[[#This Row],[Profit]]/SalesData[[#This Row],[Sales]]</f>
        <v>0.43461797752808989</v>
      </c>
    </row>
    <row r="202" spans="1:15" x14ac:dyDescent="0.25">
      <c r="A202" t="s">
        <v>239</v>
      </c>
      <c r="B202" s="1">
        <v>45311</v>
      </c>
      <c r="C202" t="s">
        <v>21</v>
      </c>
      <c r="D202" t="s">
        <v>42</v>
      </c>
      <c r="E202" t="s">
        <v>34</v>
      </c>
      <c r="F202" t="s">
        <v>35</v>
      </c>
      <c r="G202">
        <v>10</v>
      </c>
      <c r="H202">
        <v>909</v>
      </c>
      <c r="I202">
        <v>9090</v>
      </c>
      <c r="J202">
        <v>6122.46</v>
      </c>
      <c r="K202">
        <v>2967.54</v>
      </c>
      <c r="L202" t="s">
        <v>18</v>
      </c>
      <c r="M202" t="s">
        <v>30</v>
      </c>
      <c r="N202" t="str">
        <f>TEXT(SalesData[[#This Row],[Order Date]],"MMM-YYYY")</f>
        <v>Jan-2024</v>
      </c>
      <c r="O202" s="2">
        <f>SalesData[[#This Row],[Profit]]/SalesData[[#This Row],[Sales]]</f>
        <v>0.32646204620462044</v>
      </c>
    </row>
    <row r="203" spans="1:15" x14ac:dyDescent="0.25">
      <c r="A203" t="s">
        <v>240</v>
      </c>
      <c r="B203" s="1">
        <v>45549</v>
      </c>
      <c r="C203" t="s">
        <v>38</v>
      </c>
      <c r="D203" t="s">
        <v>15</v>
      </c>
      <c r="E203" t="s">
        <v>23</v>
      </c>
      <c r="F203" t="s">
        <v>24</v>
      </c>
      <c r="G203">
        <v>5</v>
      </c>
      <c r="H203">
        <v>629</v>
      </c>
      <c r="I203">
        <v>3145</v>
      </c>
      <c r="J203">
        <v>2216.23</v>
      </c>
      <c r="K203">
        <v>928.77</v>
      </c>
      <c r="L203" t="s">
        <v>25</v>
      </c>
      <c r="M203" t="s">
        <v>26</v>
      </c>
      <c r="N203" t="str">
        <f>TEXT(SalesData[[#This Row],[Order Date]],"MMM-YYYY")</f>
        <v>Sep-2024</v>
      </c>
      <c r="O203" s="2">
        <f>SalesData[[#This Row],[Profit]]/SalesData[[#This Row],[Sales]]</f>
        <v>0.29531637519872811</v>
      </c>
    </row>
    <row r="204" spans="1:15" x14ac:dyDescent="0.25">
      <c r="A204" t="s">
        <v>241</v>
      </c>
      <c r="B204" s="1">
        <v>45293</v>
      </c>
      <c r="C204" t="s">
        <v>21</v>
      </c>
      <c r="D204" t="s">
        <v>28</v>
      </c>
      <c r="E204" t="s">
        <v>16</v>
      </c>
      <c r="F204" t="s">
        <v>29</v>
      </c>
      <c r="G204">
        <v>5</v>
      </c>
      <c r="H204">
        <v>229</v>
      </c>
      <c r="I204">
        <v>1145</v>
      </c>
      <c r="J204">
        <v>636.25</v>
      </c>
      <c r="K204">
        <v>508.75</v>
      </c>
      <c r="L204" t="s">
        <v>25</v>
      </c>
      <c r="M204" t="s">
        <v>44</v>
      </c>
      <c r="N204" t="str">
        <f>TEXT(SalesData[[#This Row],[Order Date]],"MMM-YYYY")</f>
        <v>Jan-2024</v>
      </c>
      <c r="O204" s="2">
        <f>SalesData[[#This Row],[Profit]]/SalesData[[#This Row],[Sales]]</f>
        <v>0.4443231441048035</v>
      </c>
    </row>
    <row r="205" spans="1:15" x14ac:dyDescent="0.25">
      <c r="A205" t="s">
        <v>242</v>
      </c>
      <c r="B205" s="1">
        <v>45313</v>
      </c>
      <c r="C205" t="s">
        <v>21</v>
      </c>
      <c r="D205" t="s">
        <v>28</v>
      </c>
      <c r="E205" t="s">
        <v>16</v>
      </c>
      <c r="F205" t="s">
        <v>29</v>
      </c>
      <c r="G205">
        <v>2</v>
      </c>
      <c r="H205">
        <v>496</v>
      </c>
      <c r="I205">
        <v>992</v>
      </c>
      <c r="J205">
        <v>651.21</v>
      </c>
      <c r="K205">
        <v>340.79</v>
      </c>
      <c r="L205" t="s">
        <v>18</v>
      </c>
      <c r="M205" t="s">
        <v>26</v>
      </c>
      <c r="N205" t="str">
        <f>TEXT(SalesData[[#This Row],[Order Date]],"MMM-YYYY")</f>
        <v>Jan-2024</v>
      </c>
      <c r="O205" s="2">
        <f>SalesData[[#This Row],[Profit]]/SalesData[[#This Row],[Sales]]</f>
        <v>0.34353830645161293</v>
      </c>
    </row>
    <row r="206" spans="1:15" x14ac:dyDescent="0.25">
      <c r="A206" t="s">
        <v>243</v>
      </c>
      <c r="B206" s="1">
        <v>45376</v>
      </c>
      <c r="C206" t="s">
        <v>21</v>
      </c>
      <c r="D206" t="s">
        <v>15</v>
      </c>
      <c r="E206" t="s">
        <v>34</v>
      </c>
      <c r="F206" t="s">
        <v>35</v>
      </c>
      <c r="G206">
        <v>2</v>
      </c>
      <c r="H206">
        <v>49</v>
      </c>
      <c r="I206">
        <v>98</v>
      </c>
      <c r="J206">
        <v>63.02</v>
      </c>
      <c r="K206">
        <v>34.979999999999997</v>
      </c>
      <c r="L206" t="s">
        <v>18</v>
      </c>
      <c r="M206" t="s">
        <v>44</v>
      </c>
      <c r="N206" t="str">
        <f>TEXT(SalesData[[#This Row],[Order Date]],"MMM-YYYY")</f>
        <v>Mar-2024</v>
      </c>
      <c r="O206" s="2">
        <f>SalesData[[#This Row],[Profit]]/SalesData[[#This Row],[Sales]]</f>
        <v>0.35693877551020403</v>
      </c>
    </row>
    <row r="207" spans="1:15" x14ac:dyDescent="0.25">
      <c r="A207" t="s">
        <v>244</v>
      </c>
      <c r="B207" s="1">
        <v>45300</v>
      </c>
      <c r="C207" t="s">
        <v>41</v>
      </c>
      <c r="D207" t="s">
        <v>42</v>
      </c>
      <c r="E207" t="s">
        <v>23</v>
      </c>
      <c r="F207" t="s">
        <v>24</v>
      </c>
      <c r="G207">
        <v>6</v>
      </c>
      <c r="H207">
        <v>609</v>
      </c>
      <c r="I207">
        <v>3654</v>
      </c>
      <c r="J207">
        <v>2297.9699999999998</v>
      </c>
      <c r="K207">
        <v>1356.03</v>
      </c>
      <c r="L207" t="s">
        <v>18</v>
      </c>
      <c r="M207" t="s">
        <v>30</v>
      </c>
      <c r="N207" t="str">
        <f>TEXT(SalesData[[#This Row],[Order Date]],"MMM-YYYY")</f>
        <v>Jan-2024</v>
      </c>
      <c r="O207" s="2">
        <f>SalesData[[#This Row],[Profit]]/SalesData[[#This Row],[Sales]]</f>
        <v>0.37110837438423644</v>
      </c>
    </row>
    <row r="208" spans="1:15" x14ac:dyDescent="0.25">
      <c r="A208" t="s">
        <v>245</v>
      </c>
      <c r="B208" s="1">
        <v>45358</v>
      </c>
      <c r="C208" t="s">
        <v>14</v>
      </c>
      <c r="D208" t="s">
        <v>22</v>
      </c>
      <c r="E208" t="s">
        <v>16</v>
      </c>
      <c r="F208" t="s">
        <v>64</v>
      </c>
      <c r="G208">
        <v>2</v>
      </c>
      <c r="H208">
        <v>91</v>
      </c>
      <c r="I208">
        <v>182</v>
      </c>
      <c r="J208">
        <v>143.62</v>
      </c>
      <c r="K208">
        <v>38.380000000000003</v>
      </c>
      <c r="L208" t="s">
        <v>18</v>
      </c>
      <c r="M208" t="s">
        <v>44</v>
      </c>
      <c r="N208" t="str">
        <f>TEXT(SalesData[[#This Row],[Order Date]],"MMM-YYYY")</f>
        <v>Mar-2024</v>
      </c>
      <c r="O208" s="2">
        <f>SalesData[[#This Row],[Profit]]/SalesData[[#This Row],[Sales]]</f>
        <v>0.21087912087912089</v>
      </c>
    </row>
    <row r="209" spans="1:15" x14ac:dyDescent="0.25">
      <c r="A209" t="s">
        <v>246</v>
      </c>
      <c r="B209" s="1">
        <v>45306</v>
      </c>
      <c r="C209" t="s">
        <v>14</v>
      </c>
      <c r="D209" t="s">
        <v>28</v>
      </c>
      <c r="E209" t="s">
        <v>16</v>
      </c>
      <c r="F209" t="s">
        <v>64</v>
      </c>
      <c r="G209">
        <v>1</v>
      </c>
      <c r="H209">
        <v>369</v>
      </c>
      <c r="I209">
        <v>369</v>
      </c>
      <c r="J209">
        <v>288.23</v>
      </c>
      <c r="K209">
        <v>80.77</v>
      </c>
      <c r="L209" t="s">
        <v>25</v>
      </c>
      <c r="M209" t="s">
        <v>26</v>
      </c>
      <c r="N209" t="str">
        <f>TEXT(SalesData[[#This Row],[Order Date]],"MMM-YYYY")</f>
        <v>Jan-2024</v>
      </c>
      <c r="O209" s="2">
        <f>SalesData[[#This Row],[Profit]]/SalesData[[#This Row],[Sales]]</f>
        <v>0.21888888888888888</v>
      </c>
    </row>
    <row r="210" spans="1:15" x14ac:dyDescent="0.25">
      <c r="A210" t="s">
        <v>247</v>
      </c>
      <c r="B210" s="1">
        <v>45565</v>
      </c>
      <c r="C210" t="s">
        <v>41</v>
      </c>
      <c r="D210" t="s">
        <v>42</v>
      </c>
      <c r="E210" t="s">
        <v>16</v>
      </c>
      <c r="F210" t="s">
        <v>29</v>
      </c>
      <c r="G210">
        <v>10</v>
      </c>
      <c r="H210">
        <v>827</v>
      </c>
      <c r="I210">
        <v>8270</v>
      </c>
      <c r="J210">
        <v>4201.05</v>
      </c>
      <c r="K210">
        <v>4068.95</v>
      </c>
      <c r="L210" t="s">
        <v>18</v>
      </c>
      <c r="M210" t="s">
        <v>30</v>
      </c>
      <c r="N210" t="str">
        <f>TEXT(SalesData[[#This Row],[Order Date]],"MMM-YYYY")</f>
        <v>Sep-2024</v>
      </c>
      <c r="O210" s="2">
        <f>SalesData[[#This Row],[Profit]]/SalesData[[#This Row],[Sales]]</f>
        <v>0.49201330108827085</v>
      </c>
    </row>
    <row r="211" spans="1:15" x14ac:dyDescent="0.25">
      <c r="A211" t="s">
        <v>248</v>
      </c>
      <c r="B211" s="1">
        <v>45490</v>
      </c>
      <c r="C211" t="s">
        <v>21</v>
      </c>
      <c r="D211" t="s">
        <v>42</v>
      </c>
      <c r="E211" t="s">
        <v>23</v>
      </c>
      <c r="F211" t="s">
        <v>24</v>
      </c>
      <c r="G211">
        <v>8</v>
      </c>
      <c r="H211">
        <v>366</v>
      </c>
      <c r="I211">
        <v>2928</v>
      </c>
      <c r="J211">
        <v>2008.33</v>
      </c>
      <c r="K211">
        <v>919.67</v>
      </c>
      <c r="L211" t="s">
        <v>25</v>
      </c>
      <c r="M211" t="s">
        <v>19</v>
      </c>
      <c r="N211" t="str">
        <f>TEXT(SalesData[[#This Row],[Order Date]],"MMM-YYYY")</f>
        <v>Jul-2024</v>
      </c>
      <c r="O211" s="2">
        <f>SalesData[[#This Row],[Profit]]/SalesData[[#This Row],[Sales]]</f>
        <v>0.31409494535519122</v>
      </c>
    </row>
    <row r="212" spans="1:15" x14ac:dyDescent="0.25">
      <c r="A212" t="s">
        <v>249</v>
      </c>
      <c r="B212" s="1">
        <v>45346</v>
      </c>
      <c r="C212" t="s">
        <v>38</v>
      </c>
      <c r="D212" t="s">
        <v>22</v>
      </c>
      <c r="E212" t="s">
        <v>16</v>
      </c>
      <c r="F212" t="s">
        <v>29</v>
      </c>
      <c r="G212">
        <v>4</v>
      </c>
      <c r="H212">
        <v>25</v>
      </c>
      <c r="I212">
        <v>100</v>
      </c>
      <c r="J212">
        <v>63.22</v>
      </c>
      <c r="K212">
        <v>36.78</v>
      </c>
      <c r="L212" t="s">
        <v>25</v>
      </c>
      <c r="M212" t="s">
        <v>30</v>
      </c>
      <c r="N212" t="str">
        <f>TEXT(SalesData[[#This Row],[Order Date]],"MMM-YYYY")</f>
        <v>Feb-2024</v>
      </c>
      <c r="O212" s="2">
        <f>SalesData[[#This Row],[Profit]]/SalesData[[#This Row],[Sales]]</f>
        <v>0.36780000000000002</v>
      </c>
    </row>
    <row r="213" spans="1:15" x14ac:dyDescent="0.25">
      <c r="A213" t="s">
        <v>250</v>
      </c>
      <c r="B213" s="1">
        <v>45482</v>
      </c>
      <c r="C213" t="s">
        <v>38</v>
      </c>
      <c r="D213" t="s">
        <v>42</v>
      </c>
      <c r="E213" t="s">
        <v>16</v>
      </c>
      <c r="F213" t="s">
        <v>17</v>
      </c>
      <c r="G213">
        <v>6</v>
      </c>
      <c r="H213">
        <v>841</v>
      </c>
      <c r="I213">
        <v>5046</v>
      </c>
      <c r="J213">
        <v>2558.2399999999998</v>
      </c>
      <c r="K213">
        <v>2487.7600000000002</v>
      </c>
      <c r="L213" t="s">
        <v>18</v>
      </c>
      <c r="M213" t="s">
        <v>30</v>
      </c>
      <c r="N213" t="str">
        <f>TEXT(SalesData[[#This Row],[Order Date]],"MMM-YYYY")</f>
        <v>Jul-2024</v>
      </c>
      <c r="O213" s="2">
        <f>SalesData[[#This Row],[Profit]]/SalesData[[#This Row],[Sales]]</f>
        <v>0.49301625049544195</v>
      </c>
    </row>
    <row r="214" spans="1:15" x14ac:dyDescent="0.25">
      <c r="A214" t="s">
        <v>251</v>
      </c>
      <c r="B214" s="1">
        <v>45549</v>
      </c>
      <c r="C214" t="s">
        <v>21</v>
      </c>
      <c r="D214" t="s">
        <v>22</v>
      </c>
      <c r="E214" t="s">
        <v>16</v>
      </c>
      <c r="F214" t="s">
        <v>17</v>
      </c>
      <c r="G214">
        <v>1</v>
      </c>
      <c r="H214">
        <v>217</v>
      </c>
      <c r="I214">
        <v>217</v>
      </c>
      <c r="J214">
        <v>129.99</v>
      </c>
      <c r="K214">
        <v>87.01</v>
      </c>
      <c r="L214" t="s">
        <v>18</v>
      </c>
      <c r="M214" t="s">
        <v>30</v>
      </c>
      <c r="N214" t="str">
        <f>TEXT(SalesData[[#This Row],[Order Date]],"MMM-YYYY")</f>
        <v>Sep-2024</v>
      </c>
      <c r="O214" s="2">
        <f>SalesData[[#This Row],[Profit]]/SalesData[[#This Row],[Sales]]</f>
        <v>0.4009677419354839</v>
      </c>
    </row>
    <row r="215" spans="1:15" x14ac:dyDescent="0.25">
      <c r="A215" t="s">
        <v>252</v>
      </c>
      <c r="B215" s="1">
        <v>45308</v>
      </c>
      <c r="C215" t="s">
        <v>41</v>
      </c>
      <c r="D215" t="s">
        <v>28</v>
      </c>
      <c r="E215" t="s">
        <v>34</v>
      </c>
      <c r="F215" t="s">
        <v>35</v>
      </c>
      <c r="G215">
        <v>4</v>
      </c>
      <c r="H215">
        <v>328</v>
      </c>
      <c r="I215">
        <v>1312</v>
      </c>
      <c r="J215">
        <v>771.26</v>
      </c>
      <c r="K215">
        <v>540.74</v>
      </c>
      <c r="L215" t="s">
        <v>25</v>
      </c>
      <c r="M215" t="s">
        <v>44</v>
      </c>
      <c r="N215" t="str">
        <f>TEXT(SalesData[[#This Row],[Order Date]],"MMM-YYYY")</f>
        <v>Jan-2024</v>
      </c>
      <c r="O215" s="2">
        <f>SalesData[[#This Row],[Profit]]/SalesData[[#This Row],[Sales]]</f>
        <v>0.41214939024390246</v>
      </c>
    </row>
    <row r="216" spans="1:15" x14ac:dyDescent="0.25">
      <c r="A216" t="s">
        <v>253</v>
      </c>
      <c r="B216" s="1">
        <v>45475</v>
      </c>
      <c r="C216" t="s">
        <v>14</v>
      </c>
      <c r="D216" t="s">
        <v>42</v>
      </c>
      <c r="E216" t="s">
        <v>16</v>
      </c>
      <c r="F216" t="s">
        <v>17</v>
      </c>
      <c r="G216">
        <v>2</v>
      </c>
      <c r="H216">
        <v>455</v>
      </c>
      <c r="I216">
        <v>910</v>
      </c>
      <c r="J216">
        <v>565.69000000000005</v>
      </c>
      <c r="K216">
        <v>344.31</v>
      </c>
      <c r="L216" t="s">
        <v>25</v>
      </c>
      <c r="M216" t="s">
        <v>26</v>
      </c>
      <c r="N216" t="str">
        <f>TEXT(SalesData[[#This Row],[Order Date]],"MMM-YYYY")</f>
        <v>Jul-2024</v>
      </c>
      <c r="O216" s="2">
        <f>SalesData[[#This Row],[Profit]]/SalesData[[#This Row],[Sales]]</f>
        <v>0.37836263736263737</v>
      </c>
    </row>
    <row r="217" spans="1:15" x14ac:dyDescent="0.25">
      <c r="A217" t="s">
        <v>254</v>
      </c>
      <c r="B217" s="1">
        <v>45482</v>
      </c>
      <c r="C217" t="s">
        <v>38</v>
      </c>
      <c r="D217" t="s">
        <v>42</v>
      </c>
      <c r="E217" t="s">
        <v>16</v>
      </c>
      <c r="F217" t="s">
        <v>64</v>
      </c>
      <c r="G217">
        <v>3</v>
      </c>
      <c r="H217">
        <v>933</v>
      </c>
      <c r="I217">
        <v>2799</v>
      </c>
      <c r="J217">
        <v>1609.94</v>
      </c>
      <c r="K217">
        <v>1189.06</v>
      </c>
      <c r="L217" t="s">
        <v>25</v>
      </c>
      <c r="M217" t="s">
        <v>19</v>
      </c>
      <c r="N217" t="str">
        <f>TEXT(SalesData[[#This Row],[Order Date]],"MMM-YYYY")</f>
        <v>Jul-2024</v>
      </c>
      <c r="O217" s="2">
        <f>SalesData[[#This Row],[Profit]]/SalesData[[#This Row],[Sales]]</f>
        <v>0.42481600571632722</v>
      </c>
    </row>
    <row r="218" spans="1:15" x14ac:dyDescent="0.25">
      <c r="A218" t="s">
        <v>255</v>
      </c>
      <c r="B218" s="1">
        <v>45591</v>
      </c>
      <c r="C218" t="s">
        <v>41</v>
      </c>
      <c r="D218" t="s">
        <v>15</v>
      </c>
      <c r="E218" t="s">
        <v>16</v>
      </c>
      <c r="F218" t="s">
        <v>17</v>
      </c>
      <c r="G218">
        <v>4</v>
      </c>
      <c r="H218">
        <v>559</v>
      </c>
      <c r="I218">
        <v>2236</v>
      </c>
      <c r="J218">
        <v>1723.97</v>
      </c>
      <c r="K218">
        <v>512.03</v>
      </c>
      <c r="L218" t="s">
        <v>18</v>
      </c>
      <c r="M218" t="s">
        <v>30</v>
      </c>
      <c r="N218" t="str">
        <f>TEXT(SalesData[[#This Row],[Order Date]],"MMM-YYYY")</f>
        <v>Oct-2024</v>
      </c>
      <c r="O218" s="2">
        <f>SalesData[[#This Row],[Profit]]/SalesData[[#This Row],[Sales]]</f>
        <v>0.2289937388193202</v>
      </c>
    </row>
    <row r="219" spans="1:15" x14ac:dyDescent="0.25">
      <c r="A219" t="s">
        <v>256</v>
      </c>
      <c r="B219" s="1">
        <v>45388</v>
      </c>
      <c r="C219" t="s">
        <v>38</v>
      </c>
      <c r="D219" t="s">
        <v>42</v>
      </c>
      <c r="E219" t="s">
        <v>23</v>
      </c>
      <c r="F219" t="s">
        <v>43</v>
      </c>
      <c r="G219">
        <v>7</v>
      </c>
      <c r="H219">
        <v>375</v>
      </c>
      <c r="I219">
        <v>2625</v>
      </c>
      <c r="J219">
        <v>1802.41</v>
      </c>
      <c r="K219">
        <v>822.59</v>
      </c>
      <c r="L219" t="s">
        <v>25</v>
      </c>
      <c r="M219" t="s">
        <v>44</v>
      </c>
      <c r="N219" t="str">
        <f>TEXT(SalesData[[#This Row],[Order Date]],"MMM-YYYY")</f>
        <v>Apr-2024</v>
      </c>
      <c r="O219" s="2">
        <f>SalesData[[#This Row],[Profit]]/SalesData[[#This Row],[Sales]]</f>
        <v>0.31336761904761906</v>
      </c>
    </row>
    <row r="220" spans="1:15" x14ac:dyDescent="0.25">
      <c r="A220" t="s">
        <v>257</v>
      </c>
      <c r="B220" s="1">
        <v>45381</v>
      </c>
      <c r="C220" t="s">
        <v>41</v>
      </c>
      <c r="D220" t="s">
        <v>28</v>
      </c>
      <c r="E220" t="s">
        <v>34</v>
      </c>
      <c r="F220" t="s">
        <v>35</v>
      </c>
      <c r="G220">
        <v>3</v>
      </c>
      <c r="H220">
        <v>638</v>
      </c>
      <c r="I220">
        <v>1914</v>
      </c>
      <c r="J220">
        <v>1323.07</v>
      </c>
      <c r="K220">
        <v>590.92999999999995</v>
      </c>
      <c r="L220" t="s">
        <v>25</v>
      </c>
      <c r="M220" t="s">
        <v>19</v>
      </c>
      <c r="N220" t="str">
        <f>TEXT(SalesData[[#This Row],[Order Date]],"MMM-YYYY")</f>
        <v>Mar-2024</v>
      </c>
      <c r="O220" s="2">
        <f>SalesData[[#This Row],[Profit]]/SalesData[[#This Row],[Sales]]</f>
        <v>0.30874085684430508</v>
      </c>
    </row>
    <row r="221" spans="1:15" x14ac:dyDescent="0.25">
      <c r="A221" t="s">
        <v>258</v>
      </c>
      <c r="B221" s="1">
        <v>45368</v>
      </c>
      <c r="C221" t="s">
        <v>21</v>
      </c>
      <c r="D221" t="s">
        <v>42</v>
      </c>
      <c r="E221" t="s">
        <v>16</v>
      </c>
      <c r="F221" t="s">
        <v>29</v>
      </c>
      <c r="G221">
        <v>8</v>
      </c>
      <c r="H221">
        <v>257</v>
      </c>
      <c r="I221">
        <v>2056</v>
      </c>
      <c r="J221">
        <v>1643.3</v>
      </c>
      <c r="K221">
        <v>412.7</v>
      </c>
      <c r="L221" t="s">
        <v>18</v>
      </c>
      <c r="M221" t="s">
        <v>30</v>
      </c>
      <c r="N221" t="str">
        <f>TEXT(SalesData[[#This Row],[Order Date]],"MMM-YYYY")</f>
        <v>Mar-2024</v>
      </c>
      <c r="O221" s="2">
        <f>SalesData[[#This Row],[Profit]]/SalesData[[#This Row],[Sales]]</f>
        <v>0.20072957198443578</v>
      </c>
    </row>
    <row r="222" spans="1:15" x14ac:dyDescent="0.25">
      <c r="A222" t="s">
        <v>259</v>
      </c>
      <c r="B222" s="1">
        <v>45303</v>
      </c>
      <c r="C222" t="s">
        <v>21</v>
      </c>
      <c r="D222" t="s">
        <v>22</v>
      </c>
      <c r="E222" t="s">
        <v>34</v>
      </c>
      <c r="F222" t="s">
        <v>47</v>
      </c>
      <c r="G222">
        <v>3</v>
      </c>
      <c r="H222">
        <v>125</v>
      </c>
      <c r="I222">
        <v>375</v>
      </c>
      <c r="J222">
        <v>202.13</v>
      </c>
      <c r="K222">
        <v>172.87</v>
      </c>
      <c r="L222" t="s">
        <v>18</v>
      </c>
      <c r="M222" t="s">
        <v>30</v>
      </c>
      <c r="N222" t="str">
        <f>TEXT(SalesData[[#This Row],[Order Date]],"MMM-YYYY")</f>
        <v>Jan-2024</v>
      </c>
      <c r="O222" s="2">
        <f>SalesData[[#This Row],[Profit]]/SalesData[[#This Row],[Sales]]</f>
        <v>0.46098666666666666</v>
      </c>
    </row>
    <row r="223" spans="1:15" x14ac:dyDescent="0.25">
      <c r="A223" t="s">
        <v>260</v>
      </c>
      <c r="B223" s="1">
        <v>45549</v>
      </c>
      <c r="C223" t="s">
        <v>41</v>
      </c>
      <c r="D223" t="s">
        <v>42</v>
      </c>
      <c r="E223" t="s">
        <v>34</v>
      </c>
      <c r="F223" t="s">
        <v>35</v>
      </c>
      <c r="G223">
        <v>2</v>
      </c>
      <c r="H223">
        <v>867</v>
      </c>
      <c r="I223">
        <v>1734</v>
      </c>
      <c r="J223">
        <v>1120.31</v>
      </c>
      <c r="K223">
        <v>613.69000000000005</v>
      </c>
      <c r="L223" t="s">
        <v>25</v>
      </c>
      <c r="M223" t="s">
        <v>44</v>
      </c>
      <c r="N223" t="str">
        <f>TEXT(SalesData[[#This Row],[Order Date]],"MMM-YYYY")</f>
        <v>Sep-2024</v>
      </c>
      <c r="O223" s="2">
        <f>SalesData[[#This Row],[Profit]]/SalesData[[#This Row],[Sales]]</f>
        <v>0.3539158016147636</v>
      </c>
    </row>
    <row r="224" spans="1:15" x14ac:dyDescent="0.25">
      <c r="A224" t="s">
        <v>261</v>
      </c>
      <c r="B224" s="1">
        <v>45495</v>
      </c>
      <c r="C224" t="s">
        <v>21</v>
      </c>
      <c r="D224" t="s">
        <v>15</v>
      </c>
      <c r="E224" t="s">
        <v>16</v>
      </c>
      <c r="F224" t="s">
        <v>64</v>
      </c>
      <c r="G224">
        <v>6</v>
      </c>
      <c r="H224">
        <v>712</v>
      </c>
      <c r="I224">
        <v>4272</v>
      </c>
      <c r="J224">
        <v>2953.49</v>
      </c>
      <c r="K224">
        <v>1318.51</v>
      </c>
      <c r="L224" t="s">
        <v>18</v>
      </c>
      <c r="M224" t="s">
        <v>26</v>
      </c>
      <c r="N224" t="str">
        <f>TEXT(SalesData[[#This Row],[Order Date]],"MMM-YYYY")</f>
        <v>Jul-2024</v>
      </c>
      <c r="O224" s="2">
        <f>SalesData[[#This Row],[Profit]]/SalesData[[#This Row],[Sales]]</f>
        <v>0.30863998127340825</v>
      </c>
    </row>
    <row r="225" spans="1:15" x14ac:dyDescent="0.25">
      <c r="A225" t="s">
        <v>262</v>
      </c>
      <c r="B225" s="1">
        <v>45464</v>
      </c>
      <c r="C225" t="s">
        <v>21</v>
      </c>
      <c r="D225" t="s">
        <v>15</v>
      </c>
      <c r="E225" t="s">
        <v>23</v>
      </c>
      <c r="F225" t="s">
        <v>39</v>
      </c>
      <c r="G225">
        <v>3</v>
      </c>
      <c r="H225">
        <v>371</v>
      </c>
      <c r="I225">
        <v>1113</v>
      </c>
      <c r="J225">
        <v>858.45</v>
      </c>
      <c r="K225">
        <v>254.55</v>
      </c>
      <c r="L225" t="s">
        <v>18</v>
      </c>
      <c r="M225" t="s">
        <v>19</v>
      </c>
      <c r="N225" t="str">
        <f>TEXT(SalesData[[#This Row],[Order Date]],"MMM-YYYY")</f>
        <v>Jun-2024</v>
      </c>
      <c r="O225" s="2">
        <f>SalesData[[#This Row],[Profit]]/SalesData[[#This Row],[Sales]]</f>
        <v>0.22870619946091644</v>
      </c>
    </row>
    <row r="226" spans="1:15" x14ac:dyDescent="0.25">
      <c r="A226" t="s">
        <v>263</v>
      </c>
      <c r="B226" s="1">
        <v>45470</v>
      </c>
      <c r="C226" t="s">
        <v>38</v>
      </c>
      <c r="D226" t="s">
        <v>15</v>
      </c>
      <c r="E226" t="s">
        <v>34</v>
      </c>
      <c r="F226" t="s">
        <v>35</v>
      </c>
      <c r="G226">
        <v>9</v>
      </c>
      <c r="H226">
        <v>984</v>
      </c>
      <c r="I226">
        <v>8856</v>
      </c>
      <c r="J226">
        <v>5786.36</v>
      </c>
      <c r="K226">
        <v>3069.64</v>
      </c>
      <c r="L226" t="s">
        <v>25</v>
      </c>
      <c r="M226" t="s">
        <v>26</v>
      </c>
      <c r="N226" t="str">
        <f>TEXT(SalesData[[#This Row],[Order Date]],"MMM-YYYY")</f>
        <v>Jun-2024</v>
      </c>
      <c r="O226" s="2">
        <f>SalesData[[#This Row],[Profit]]/SalesData[[#This Row],[Sales]]</f>
        <v>0.346616982836495</v>
      </c>
    </row>
    <row r="227" spans="1:15" x14ac:dyDescent="0.25">
      <c r="A227" t="s">
        <v>264</v>
      </c>
      <c r="B227" s="1">
        <v>45408</v>
      </c>
      <c r="C227" t="s">
        <v>14</v>
      </c>
      <c r="D227" t="s">
        <v>15</v>
      </c>
      <c r="E227" t="s">
        <v>34</v>
      </c>
      <c r="F227" t="s">
        <v>47</v>
      </c>
      <c r="G227">
        <v>10</v>
      </c>
      <c r="H227">
        <v>536</v>
      </c>
      <c r="I227">
        <v>5360</v>
      </c>
      <c r="J227">
        <v>3366.6</v>
      </c>
      <c r="K227">
        <v>1993.4</v>
      </c>
      <c r="L227" t="s">
        <v>25</v>
      </c>
      <c r="M227" t="s">
        <v>30</v>
      </c>
      <c r="N227" t="str">
        <f>TEXT(SalesData[[#This Row],[Order Date]],"MMM-YYYY")</f>
        <v>Apr-2024</v>
      </c>
      <c r="O227" s="2">
        <f>SalesData[[#This Row],[Profit]]/SalesData[[#This Row],[Sales]]</f>
        <v>0.37190298507462688</v>
      </c>
    </row>
    <row r="228" spans="1:15" x14ac:dyDescent="0.25">
      <c r="A228" t="s">
        <v>265</v>
      </c>
      <c r="B228" s="1">
        <v>45491</v>
      </c>
      <c r="C228" t="s">
        <v>21</v>
      </c>
      <c r="D228" t="s">
        <v>42</v>
      </c>
      <c r="E228" t="s">
        <v>34</v>
      </c>
      <c r="F228" t="s">
        <v>35</v>
      </c>
      <c r="G228">
        <v>8</v>
      </c>
      <c r="H228">
        <v>548</v>
      </c>
      <c r="I228">
        <v>4384</v>
      </c>
      <c r="J228">
        <v>3156.97</v>
      </c>
      <c r="K228">
        <v>1227.03</v>
      </c>
      <c r="L228" t="s">
        <v>18</v>
      </c>
      <c r="M228" t="s">
        <v>30</v>
      </c>
      <c r="N228" t="str">
        <f>TEXT(SalesData[[#This Row],[Order Date]],"MMM-YYYY")</f>
        <v>Jul-2024</v>
      </c>
      <c r="O228" s="2">
        <f>SalesData[[#This Row],[Profit]]/SalesData[[#This Row],[Sales]]</f>
        <v>0.27988822992700729</v>
      </c>
    </row>
    <row r="229" spans="1:15" x14ac:dyDescent="0.25">
      <c r="A229" t="s">
        <v>266</v>
      </c>
      <c r="B229" s="1">
        <v>45352</v>
      </c>
      <c r="C229" t="s">
        <v>21</v>
      </c>
      <c r="D229" t="s">
        <v>28</v>
      </c>
      <c r="E229" t="s">
        <v>34</v>
      </c>
      <c r="F229" t="s">
        <v>47</v>
      </c>
      <c r="G229">
        <v>6</v>
      </c>
      <c r="H229">
        <v>690</v>
      </c>
      <c r="I229">
        <v>4140</v>
      </c>
      <c r="J229">
        <v>3275.65</v>
      </c>
      <c r="K229">
        <v>864.35</v>
      </c>
      <c r="L229" t="s">
        <v>18</v>
      </c>
      <c r="M229" t="s">
        <v>26</v>
      </c>
      <c r="N229" t="str">
        <f>TEXT(SalesData[[#This Row],[Order Date]],"MMM-YYYY")</f>
        <v>Mar-2024</v>
      </c>
      <c r="O229" s="2">
        <f>SalesData[[#This Row],[Profit]]/SalesData[[#This Row],[Sales]]</f>
        <v>0.20878019323671498</v>
      </c>
    </row>
    <row r="230" spans="1:15" x14ac:dyDescent="0.25">
      <c r="A230" t="s">
        <v>267</v>
      </c>
      <c r="B230" s="1">
        <v>45406</v>
      </c>
      <c r="C230" t="s">
        <v>14</v>
      </c>
      <c r="D230" t="s">
        <v>28</v>
      </c>
      <c r="E230" t="s">
        <v>16</v>
      </c>
      <c r="F230" t="s">
        <v>29</v>
      </c>
      <c r="G230">
        <v>10</v>
      </c>
      <c r="H230">
        <v>938</v>
      </c>
      <c r="I230">
        <v>9380</v>
      </c>
      <c r="J230">
        <v>5563.37</v>
      </c>
      <c r="K230">
        <v>3816.63</v>
      </c>
      <c r="L230" t="s">
        <v>25</v>
      </c>
      <c r="M230" t="s">
        <v>44</v>
      </c>
      <c r="N230" t="str">
        <f>TEXT(SalesData[[#This Row],[Order Date]],"MMM-YYYY")</f>
        <v>Apr-2024</v>
      </c>
      <c r="O230" s="2">
        <f>SalesData[[#This Row],[Profit]]/SalesData[[#This Row],[Sales]]</f>
        <v>0.40689019189765457</v>
      </c>
    </row>
    <row r="231" spans="1:15" x14ac:dyDescent="0.25">
      <c r="A231" t="s">
        <v>268</v>
      </c>
      <c r="B231" s="1">
        <v>45499</v>
      </c>
      <c r="C231" t="s">
        <v>14</v>
      </c>
      <c r="D231" t="s">
        <v>15</v>
      </c>
      <c r="E231" t="s">
        <v>34</v>
      </c>
      <c r="F231" t="s">
        <v>35</v>
      </c>
      <c r="G231">
        <v>2</v>
      </c>
      <c r="H231">
        <v>744</v>
      </c>
      <c r="I231">
        <v>1488</v>
      </c>
      <c r="J231">
        <v>1134.67</v>
      </c>
      <c r="K231">
        <v>353.33</v>
      </c>
      <c r="L231" t="s">
        <v>18</v>
      </c>
      <c r="M231" t="s">
        <v>19</v>
      </c>
      <c r="N231" t="str">
        <f>TEXT(SalesData[[#This Row],[Order Date]],"MMM-YYYY")</f>
        <v>Jul-2024</v>
      </c>
      <c r="O231" s="2">
        <f>SalesData[[#This Row],[Profit]]/SalesData[[#This Row],[Sales]]</f>
        <v>0.23745295698924729</v>
      </c>
    </row>
    <row r="232" spans="1:15" x14ac:dyDescent="0.25">
      <c r="A232" t="s">
        <v>269</v>
      </c>
      <c r="B232" s="1">
        <v>45379</v>
      </c>
      <c r="C232" t="s">
        <v>38</v>
      </c>
      <c r="D232" t="s">
        <v>42</v>
      </c>
      <c r="E232" t="s">
        <v>34</v>
      </c>
      <c r="F232" t="s">
        <v>47</v>
      </c>
      <c r="G232">
        <v>5</v>
      </c>
      <c r="H232">
        <v>578</v>
      </c>
      <c r="I232">
        <v>2890</v>
      </c>
      <c r="J232">
        <v>1608.26</v>
      </c>
      <c r="K232">
        <v>1281.74</v>
      </c>
      <c r="L232" t="s">
        <v>25</v>
      </c>
      <c r="M232" t="s">
        <v>44</v>
      </c>
      <c r="N232" t="str">
        <f>TEXT(SalesData[[#This Row],[Order Date]],"MMM-YYYY")</f>
        <v>Mar-2024</v>
      </c>
      <c r="O232" s="2">
        <f>SalesData[[#This Row],[Profit]]/SalesData[[#This Row],[Sales]]</f>
        <v>0.44350865051903116</v>
      </c>
    </row>
    <row r="233" spans="1:15" x14ac:dyDescent="0.25">
      <c r="A233" t="s">
        <v>270</v>
      </c>
      <c r="B233" s="1">
        <v>45532</v>
      </c>
      <c r="C233" t="s">
        <v>21</v>
      </c>
      <c r="D233" t="s">
        <v>28</v>
      </c>
      <c r="E233" t="s">
        <v>16</v>
      </c>
      <c r="F233" t="s">
        <v>64</v>
      </c>
      <c r="G233">
        <v>5</v>
      </c>
      <c r="H233">
        <v>248</v>
      </c>
      <c r="I233">
        <v>1240</v>
      </c>
      <c r="J233">
        <v>988.38</v>
      </c>
      <c r="K233">
        <v>251.62</v>
      </c>
      <c r="L233" t="s">
        <v>18</v>
      </c>
      <c r="M233" t="s">
        <v>26</v>
      </c>
      <c r="N233" t="str">
        <f>TEXT(SalesData[[#This Row],[Order Date]],"MMM-YYYY")</f>
        <v>Aug-2024</v>
      </c>
      <c r="O233" s="2">
        <f>SalesData[[#This Row],[Profit]]/SalesData[[#This Row],[Sales]]</f>
        <v>0.20291935483870968</v>
      </c>
    </row>
    <row r="234" spans="1:15" x14ac:dyDescent="0.25">
      <c r="A234" t="s">
        <v>271</v>
      </c>
      <c r="B234" s="1">
        <v>45511</v>
      </c>
      <c r="C234" t="s">
        <v>14</v>
      </c>
      <c r="D234" t="s">
        <v>42</v>
      </c>
      <c r="E234" t="s">
        <v>16</v>
      </c>
      <c r="F234" t="s">
        <v>29</v>
      </c>
      <c r="G234">
        <v>9</v>
      </c>
      <c r="H234">
        <v>480</v>
      </c>
      <c r="I234">
        <v>4320</v>
      </c>
      <c r="J234">
        <v>2927.03</v>
      </c>
      <c r="K234">
        <v>1392.97</v>
      </c>
      <c r="L234" t="s">
        <v>25</v>
      </c>
      <c r="M234" t="s">
        <v>26</v>
      </c>
      <c r="N234" t="str">
        <f>TEXT(SalesData[[#This Row],[Order Date]],"MMM-YYYY")</f>
        <v>Aug-2024</v>
      </c>
      <c r="O234" s="2">
        <f>SalesData[[#This Row],[Profit]]/SalesData[[#This Row],[Sales]]</f>
        <v>0.32244675925925925</v>
      </c>
    </row>
    <row r="235" spans="1:15" x14ac:dyDescent="0.25">
      <c r="A235" t="s">
        <v>272</v>
      </c>
      <c r="B235" s="1">
        <v>45367</v>
      </c>
      <c r="C235" t="s">
        <v>41</v>
      </c>
      <c r="D235" t="s">
        <v>28</v>
      </c>
      <c r="E235" t="s">
        <v>23</v>
      </c>
      <c r="F235" t="s">
        <v>39</v>
      </c>
      <c r="G235">
        <v>3</v>
      </c>
      <c r="H235">
        <v>963</v>
      </c>
      <c r="I235">
        <v>2889</v>
      </c>
      <c r="J235">
        <v>2097.5</v>
      </c>
      <c r="K235">
        <v>791.5</v>
      </c>
      <c r="L235" t="s">
        <v>25</v>
      </c>
      <c r="M235" t="s">
        <v>19</v>
      </c>
      <c r="N235" t="str">
        <f>TEXT(SalesData[[#This Row],[Order Date]],"MMM-YYYY")</f>
        <v>Mar-2024</v>
      </c>
      <c r="O235" s="2">
        <f>SalesData[[#This Row],[Profit]]/SalesData[[#This Row],[Sales]]</f>
        <v>0.27397023191415715</v>
      </c>
    </row>
    <row r="236" spans="1:15" x14ac:dyDescent="0.25">
      <c r="A236" t="s">
        <v>273</v>
      </c>
      <c r="B236" s="1">
        <v>45475</v>
      </c>
      <c r="C236" t="s">
        <v>21</v>
      </c>
      <c r="D236" t="s">
        <v>28</v>
      </c>
      <c r="E236" t="s">
        <v>34</v>
      </c>
      <c r="F236" t="s">
        <v>35</v>
      </c>
      <c r="G236">
        <v>10</v>
      </c>
      <c r="H236">
        <v>572</v>
      </c>
      <c r="I236">
        <v>5720</v>
      </c>
      <c r="J236">
        <v>4106.4799999999996</v>
      </c>
      <c r="K236">
        <v>1613.52</v>
      </c>
      <c r="L236" t="s">
        <v>18</v>
      </c>
      <c r="M236" t="s">
        <v>19</v>
      </c>
      <c r="N236" t="str">
        <f>TEXT(SalesData[[#This Row],[Order Date]],"MMM-YYYY")</f>
        <v>Jul-2024</v>
      </c>
      <c r="O236" s="2">
        <f>SalesData[[#This Row],[Profit]]/SalesData[[#This Row],[Sales]]</f>
        <v>0.28208391608391609</v>
      </c>
    </row>
    <row r="237" spans="1:15" x14ac:dyDescent="0.25">
      <c r="A237" t="s">
        <v>274</v>
      </c>
      <c r="B237" s="1">
        <v>45295</v>
      </c>
      <c r="C237" t="s">
        <v>14</v>
      </c>
      <c r="D237" t="s">
        <v>42</v>
      </c>
      <c r="E237" t="s">
        <v>16</v>
      </c>
      <c r="F237" t="s">
        <v>17</v>
      </c>
      <c r="G237">
        <v>7</v>
      </c>
      <c r="H237">
        <v>576</v>
      </c>
      <c r="I237">
        <v>4032</v>
      </c>
      <c r="J237">
        <v>2366.9</v>
      </c>
      <c r="K237">
        <v>1665.1</v>
      </c>
      <c r="L237" t="s">
        <v>18</v>
      </c>
      <c r="M237" t="s">
        <v>30</v>
      </c>
      <c r="N237" t="str">
        <f>TEXT(SalesData[[#This Row],[Order Date]],"MMM-YYYY")</f>
        <v>Jan-2024</v>
      </c>
      <c r="O237" s="2">
        <f>SalesData[[#This Row],[Profit]]/SalesData[[#This Row],[Sales]]</f>
        <v>0.41297123015873016</v>
      </c>
    </row>
    <row r="238" spans="1:15" x14ac:dyDescent="0.25">
      <c r="A238" t="s">
        <v>275</v>
      </c>
      <c r="B238" s="1">
        <v>45512</v>
      </c>
      <c r="C238" t="s">
        <v>38</v>
      </c>
      <c r="D238" t="s">
        <v>15</v>
      </c>
      <c r="E238" t="s">
        <v>23</v>
      </c>
      <c r="F238" t="s">
        <v>24</v>
      </c>
      <c r="G238">
        <v>5</v>
      </c>
      <c r="H238">
        <v>226</v>
      </c>
      <c r="I238">
        <v>1130</v>
      </c>
      <c r="J238">
        <v>793.99</v>
      </c>
      <c r="K238">
        <v>336.01</v>
      </c>
      <c r="L238" t="s">
        <v>18</v>
      </c>
      <c r="M238" t="s">
        <v>30</v>
      </c>
      <c r="N238" t="str">
        <f>TEXT(SalesData[[#This Row],[Order Date]],"MMM-YYYY")</f>
        <v>Aug-2024</v>
      </c>
      <c r="O238" s="2">
        <f>SalesData[[#This Row],[Profit]]/SalesData[[#This Row],[Sales]]</f>
        <v>0.29735398230088494</v>
      </c>
    </row>
    <row r="239" spans="1:15" x14ac:dyDescent="0.25">
      <c r="A239" t="s">
        <v>276</v>
      </c>
      <c r="B239" s="1">
        <v>45510</v>
      </c>
      <c r="C239" t="s">
        <v>41</v>
      </c>
      <c r="D239" t="s">
        <v>42</v>
      </c>
      <c r="E239" t="s">
        <v>23</v>
      </c>
      <c r="F239" t="s">
        <v>39</v>
      </c>
      <c r="G239">
        <v>8</v>
      </c>
      <c r="H239">
        <v>722</v>
      </c>
      <c r="I239">
        <v>5776</v>
      </c>
      <c r="J239">
        <v>4543.75</v>
      </c>
      <c r="K239">
        <v>1232.25</v>
      </c>
      <c r="L239" t="s">
        <v>25</v>
      </c>
      <c r="M239" t="s">
        <v>19</v>
      </c>
      <c r="N239" t="str">
        <f>TEXT(SalesData[[#This Row],[Order Date]],"MMM-YYYY")</f>
        <v>Aug-2024</v>
      </c>
      <c r="O239" s="2">
        <f>SalesData[[#This Row],[Profit]]/SalesData[[#This Row],[Sales]]</f>
        <v>0.21333968144044321</v>
      </c>
    </row>
    <row r="240" spans="1:15" x14ac:dyDescent="0.25">
      <c r="A240" t="s">
        <v>277</v>
      </c>
      <c r="B240" s="1">
        <v>45428</v>
      </c>
      <c r="C240" t="s">
        <v>14</v>
      </c>
      <c r="D240" t="s">
        <v>28</v>
      </c>
      <c r="E240" t="s">
        <v>16</v>
      </c>
      <c r="F240" t="s">
        <v>64</v>
      </c>
      <c r="G240">
        <v>5</v>
      </c>
      <c r="H240">
        <v>471</v>
      </c>
      <c r="I240">
        <v>2355</v>
      </c>
      <c r="J240">
        <v>1179.7</v>
      </c>
      <c r="K240">
        <v>1175.3</v>
      </c>
      <c r="L240" t="s">
        <v>25</v>
      </c>
      <c r="M240" t="s">
        <v>26</v>
      </c>
      <c r="N240" t="str">
        <f>TEXT(SalesData[[#This Row],[Order Date]],"MMM-YYYY")</f>
        <v>May-2024</v>
      </c>
      <c r="O240" s="2">
        <f>SalesData[[#This Row],[Profit]]/SalesData[[#This Row],[Sales]]</f>
        <v>0.49906581740976641</v>
      </c>
    </row>
    <row r="241" spans="1:15" x14ac:dyDescent="0.25">
      <c r="A241" t="s">
        <v>278</v>
      </c>
      <c r="B241" s="1">
        <v>45576</v>
      </c>
      <c r="C241" t="s">
        <v>21</v>
      </c>
      <c r="D241" t="s">
        <v>15</v>
      </c>
      <c r="E241" t="s">
        <v>34</v>
      </c>
      <c r="F241" t="s">
        <v>53</v>
      </c>
      <c r="G241">
        <v>9</v>
      </c>
      <c r="H241">
        <v>582</v>
      </c>
      <c r="I241">
        <v>5238</v>
      </c>
      <c r="J241">
        <v>3434.04</v>
      </c>
      <c r="K241">
        <v>1803.96</v>
      </c>
      <c r="L241" t="s">
        <v>25</v>
      </c>
      <c r="M241" t="s">
        <v>26</v>
      </c>
      <c r="N241" t="str">
        <f>TEXT(SalesData[[#This Row],[Order Date]],"MMM-YYYY")</f>
        <v>Oct-2024</v>
      </c>
      <c r="O241" s="2">
        <f>SalesData[[#This Row],[Profit]]/SalesData[[#This Row],[Sales]]</f>
        <v>0.3443986254295533</v>
      </c>
    </row>
    <row r="242" spans="1:15" x14ac:dyDescent="0.25">
      <c r="A242" t="s">
        <v>279</v>
      </c>
      <c r="B242" s="1">
        <v>45575</v>
      </c>
      <c r="C242" t="s">
        <v>14</v>
      </c>
      <c r="D242" t="s">
        <v>28</v>
      </c>
      <c r="E242" t="s">
        <v>16</v>
      </c>
      <c r="F242" t="s">
        <v>64</v>
      </c>
      <c r="G242">
        <v>9</v>
      </c>
      <c r="H242">
        <v>409</v>
      </c>
      <c r="I242">
        <v>3681</v>
      </c>
      <c r="J242">
        <v>1957.87</v>
      </c>
      <c r="K242">
        <v>1723.13</v>
      </c>
      <c r="L242" t="s">
        <v>25</v>
      </c>
      <c r="M242" t="s">
        <v>26</v>
      </c>
      <c r="N242" t="str">
        <f>TEXT(SalesData[[#This Row],[Order Date]],"MMM-YYYY")</f>
        <v>Oct-2024</v>
      </c>
      <c r="O242" s="2">
        <f>SalesData[[#This Row],[Profit]]/SalesData[[#This Row],[Sales]]</f>
        <v>0.46811464276011955</v>
      </c>
    </row>
    <row r="243" spans="1:15" x14ac:dyDescent="0.25">
      <c r="A243" t="s">
        <v>280</v>
      </c>
      <c r="B243" s="1">
        <v>45420</v>
      </c>
      <c r="C243" t="s">
        <v>14</v>
      </c>
      <c r="D243" t="s">
        <v>28</v>
      </c>
      <c r="E243" t="s">
        <v>34</v>
      </c>
      <c r="F243" t="s">
        <v>35</v>
      </c>
      <c r="G243">
        <v>3</v>
      </c>
      <c r="H243">
        <v>111</v>
      </c>
      <c r="I243">
        <v>333</v>
      </c>
      <c r="J243">
        <v>259.89999999999998</v>
      </c>
      <c r="K243">
        <v>73.099999999999994</v>
      </c>
      <c r="L243" t="s">
        <v>25</v>
      </c>
      <c r="M243" t="s">
        <v>19</v>
      </c>
      <c r="N243" t="str">
        <f>TEXT(SalesData[[#This Row],[Order Date]],"MMM-YYYY")</f>
        <v>May-2024</v>
      </c>
      <c r="O243" s="2">
        <f>SalesData[[#This Row],[Profit]]/SalesData[[#This Row],[Sales]]</f>
        <v>0.21951951951951951</v>
      </c>
    </row>
    <row r="244" spans="1:15" x14ac:dyDescent="0.25">
      <c r="A244" t="s">
        <v>281</v>
      </c>
      <c r="B244" s="1">
        <v>45355</v>
      </c>
      <c r="C244" t="s">
        <v>38</v>
      </c>
      <c r="D244" t="s">
        <v>28</v>
      </c>
      <c r="E244" t="s">
        <v>34</v>
      </c>
      <c r="F244" t="s">
        <v>53</v>
      </c>
      <c r="G244">
        <v>5</v>
      </c>
      <c r="H244">
        <v>1000</v>
      </c>
      <c r="I244">
        <v>5000</v>
      </c>
      <c r="J244">
        <v>3758.83</v>
      </c>
      <c r="K244">
        <v>1241.17</v>
      </c>
      <c r="L244" t="s">
        <v>18</v>
      </c>
      <c r="M244" t="s">
        <v>30</v>
      </c>
      <c r="N244" t="str">
        <f>TEXT(SalesData[[#This Row],[Order Date]],"MMM-YYYY")</f>
        <v>Mar-2024</v>
      </c>
      <c r="O244" s="2">
        <f>SalesData[[#This Row],[Profit]]/SalesData[[#This Row],[Sales]]</f>
        <v>0.24823400000000001</v>
      </c>
    </row>
    <row r="245" spans="1:15" x14ac:dyDescent="0.25">
      <c r="A245" t="s">
        <v>282</v>
      </c>
      <c r="B245" s="1">
        <v>45518</v>
      </c>
      <c r="C245" t="s">
        <v>41</v>
      </c>
      <c r="D245" t="s">
        <v>22</v>
      </c>
      <c r="E245" t="s">
        <v>34</v>
      </c>
      <c r="F245" t="s">
        <v>47</v>
      </c>
      <c r="G245">
        <v>9</v>
      </c>
      <c r="H245">
        <v>399</v>
      </c>
      <c r="I245">
        <v>3591</v>
      </c>
      <c r="J245">
        <v>2739.5</v>
      </c>
      <c r="K245">
        <v>851.5</v>
      </c>
      <c r="L245" t="s">
        <v>25</v>
      </c>
      <c r="M245" t="s">
        <v>30</v>
      </c>
      <c r="N245" t="str">
        <f>TEXT(SalesData[[#This Row],[Order Date]],"MMM-YYYY")</f>
        <v>Aug-2024</v>
      </c>
      <c r="O245" s="2">
        <f>SalesData[[#This Row],[Profit]]/SalesData[[#This Row],[Sales]]</f>
        <v>0.23712057922584237</v>
      </c>
    </row>
    <row r="246" spans="1:15" x14ac:dyDescent="0.25">
      <c r="A246" t="s">
        <v>283</v>
      </c>
      <c r="B246" s="1">
        <v>45457</v>
      </c>
      <c r="C246" t="s">
        <v>14</v>
      </c>
      <c r="D246" t="s">
        <v>22</v>
      </c>
      <c r="E246" t="s">
        <v>16</v>
      </c>
      <c r="F246" t="s">
        <v>17</v>
      </c>
      <c r="G246">
        <v>1</v>
      </c>
      <c r="H246">
        <v>877</v>
      </c>
      <c r="I246">
        <v>877</v>
      </c>
      <c r="J246">
        <v>470.66</v>
      </c>
      <c r="K246">
        <v>406.34</v>
      </c>
      <c r="L246" t="s">
        <v>18</v>
      </c>
      <c r="M246" t="s">
        <v>30</v>
      </c>
      <c r="N246" t="str">
        <f>TEXT(SalesData[[#This Row],[Order Date]],"MMM-YYYY")</f>
        <v>Jun-2024</v>
      </c>
      <c r="O246" s="2">
        <f>SalesData[[#This Row],[Profit]]/SalesData[[#This Row],[Sales]]</f>
        <v>0.46332953249714937</v>
      </c>
    </row>
    <row r="247" spans="1:15" x14ac:dyDescent="0.25">
      <c r="A247" t="s">
        <v>284</v>
      </c>
      <c r="B247" s="1">
        <v>45330</v>
      </c>
      <c r="C247" t="s">
        <v>41</v>
      </c>
      <c r="D247" t="s">
        <v>42</v>
      </c>
      <c r="E247" t="s">
        <v>23</v>
      </c>
      <c r="F247" t="s">
        <v>39</v>
      </c>
      <c r="G247">
        <v>6</v>
      </c>
      <c r="H247">
        <v>698</v>
      </c>
      <c r="I247">
        <v>4188</v>
      </c>
      <c r="J247">
        <v>3326.93</v>
      </c>
      <c r="K247">
        <v>861.07</v>
      </c>
      <c r="L247" t="s">
        <v>25</v>
      </c>
      <c r="M247" t="s">
        <v>30</v>
      </c>
      <c r="N247" t="str">
        <f>TEXT(SalesData[[#This Row],[Order Date]],"MMM-YYYY")</f>
        <v>Feb-2024</v>
      </c>
      <c r="O247" s="2">
        <f>SalesData[[#This Row],[Profit]]/SalesData[[#This Row],[Sales]]</f>
        <v>0.20560410697230183</v>
      </c>
    </row>
    <row r="248" spans="1:15" x14ac:dyDescent="0.25">
      <c r="A248" t="s">
        <v>285</v>
      </c>
      <c r="B248" s="1">
        <v>45528</v>
      </c>
      <c r="C248" t="s">
        <v>14</v>
      </c>
      <c r="D248" t="s">
        <v>22</v>
      </c>
      <c r="E248" t="s">
        <v>16</v>
      </c>
      <c r="F248" t="s">
        <v>29</v>
      </c>
      <c r="G248">
        <v>1</v>
      </c>
      <c r="H248">
        <v>369</v>
      </c>
      <c r="I248">
        <v>369</v>
      </c>
      <c r="J248">
        <v>200.31</v>
      </c>
      <c r="K248">
        <v>168.69</v>
      </c>
      <c r="L248" t="s">
        <v>25</v>
      </c>
      <c r="M248" t="s">
        <v>30</v>
      </c>
      <c r="N248" t="str">
        <f>TEXT(SalesData[[#This Row],[Order Date]],"MMM-YYYY")</f>
        <v>Aug-2024</v>
      </c>
      <c r="O248" s="2">
        <f>SalesData[[#This Row],[Profit]]/SalesData[[#This Row],[Sales]]</f>
        <v>0.45715447154471545</v>
      </c>
    </row>
    <row r="249" spans="1:15" x14ac:dyDescent="0.25">
      <c r="A249" t="s">
        <v>286</v>
      </c>
      <c r="B249" s="1">
        <v>45474</v>
      </c>
      <c r="C249" t="s">
        <v>21</v>
      </c>
      <c r="D249" t="s">
        <v>15</v>
      </c>
      <c r="E249" t="s">
        <v>23</v>
      </c>
      <c r="F249" t="s">
        <v>39</v>
      </c>
      <c r="G249">
        <v>8</v>
      </c>
      <c r="H249">
        <v>297</v>
      </c>
      <c r="I249">
        <v>2376</v>
      </c>
      <c r="J249">
        <v>1524.71</v>
      </c>
      <c r="K249">
        <v>851.29</v>
      </c>
      <c r="L249" t="s">
        <v>25</v>
      </c>
      <c r="M249" t="s">
        <v>19</v>
      </c>
      <c r="N249" t="str">
        <f>TEXT(SalesData[[#This Row],[Order Date]],"MMM-YYYY")</f>
        <v>Jul-2024</v>
      </c>
      <c r="O249" s="2">
        <f>SalesData[[#This Row],[Profit]]/SalesData[[#This Row],[Sales]]</f>
        <v>0.35828703703703701</v>
      </c>
    </row>
    <row r="250" spans="1:15" x14ac:dyDescent="0.25">
      <c r="A250" t="s">
        <v>287</v>
      </c>
      <c r="B250" s="1">
        <v>45332</v>
      </c>
      <c r="C250" t="s">
        <v>14</v>
      </c>
      <c r="D250" t="s">
        <v>15</v>
      </c>
      <c r="E250" t="s">
        <v>23</v>
      </c>
      <c r="F250" t="s">
        <v>43</v>
      </c>
      <c r="G250">
        <v>4</v>
      </c>
      <c r="H250">
        <v>259</v>
      </c>
      <c r="I250">
        <v>1036</v>
      </c>
      <c r="J250">
        <v>725.51</v>
      </c>
      <c r="K250">
        <v>310.49</v>
      </c>
      <c r="L250" t="s">
        <v>18</v>
      </c>
      <c r="M250" t="s">
        <v>26</v>
      </c>
      <c r="N250" t="str">
        <f>TEXT(SalesData[[#This Row],[Order Date]],"MMM-YYYY")</f>
        <v>Feb-2024</v>
      </c>
      <c r="O250" s="2">
        <f>SalesData[[#This Row],[Profit]]/SalesData[[#This Row],[Sales]]</f>
        <v>0.29970077220077224</v>
      </c>
    </row>
    <row r="251" spans="1:15" x14ac:dyDescent="0.25">
      <c r="A251" t="s">
        <v>288</v>
      </c>
      <c r="B251" s="1">
        <v>45466</v>
      </c>
      <c r="C251" t="s">
        <v>21</v>
      </c>
      <c r="D251" t="s">
        <v>22</v>
      </c>
      <c r="E251" t="s">
        <v>34</v>
      </c>
      <c r="F251" t="s">
        <v>35</v>
      </c>
      <c r="G251">
        <v>9</v>
      </c>
      <c r="H251">
        <v>473</v>
      </c>
      <c r="I251">
        <v>4257</v>
      </c>
      <c r="J251">
        <v>3242.55</v>
      </c>
      <c r="K251">
        <v>1014.45</v>
      </c>
      <c r="L251" t="s">
        <v>18</v>
      </c>
      <c r="M251" t="s">
        <v>30</v>
      </c>
      <c r="N251" t="str">
        <f>TEXT(SalesData[[#This Row],[Order Date]],"MMM-YYYY")</f>
        <v>Jun-2024</v>
      </c>
      <c r="O251" s="2">
        <f>SalesData[[#This Row],[Profit]]/SalesData[[#This Row],[Sales]]</f>
        <v>0.23830162085976039</v>
      </c>
    </row>
    <row r="252" spans="1:15" x14ac:dyDescent="0.25">
      <c r="A252" t="s">
        <v>289</v>
      </c>
      <c r="B252" s="1">
        <v>45517</v>
      </c>
      <c r="C252" t="s">
        <v>14</v>
      </c>
      <c r="D252" t="s">
        <v>42</v>
      </c>
      <c r="E252" t="s">
        <v>16</v>
      </c>
      <c r="F252" t="s">
        <v>64</v>
      </c>
      <c r="G252">
        <v>6</v>
      </c>
      <c r="H252">
        <v>868</v>
      </c>
      <c r="I252">
        <v>5208</v>
      </c>
      <c r="J252">
        <v>2998.67</v>
      </c>
      <c r="K252">
        <v>2209.33</v>
      </c>
      <c r="L252" t="s">
        <v>25</v>
      </c>
      <c r="M252" t="s">
        <v>30</v>
      </c>
      <c r="N252" t="str">
        <f>TEXT(SalesData[[#This Row],[Order Date]],"MMM-YYYY")</f>
        <v>Aug-2024</v>
      </c>
      <c r="O252" s="2">
        <f>SalesData[[#This Row],[Profit]]/SalesData[[#This Row],[Sales]]</f>
        <v>0.424218509984639</v>
      </c>
    </row>
    <row r="253" spans="1:15" x14ac:dyDescent="0.25">
      <c r="A253" t="s">
        <v>290</v>
      </c>
      <c r="B253" s="1">
        <v>45582</v>
      </c>
      <c r="C253" t="s">
        <v>41</v>
      </c>
      <c r="D253" t="s">
        <v>15</v>
      </c>
      <c r="E253" t="s">
        <v>23</v>
      </c>
      <c r="F253" t="s">
        <v>43</v>
      </c>
      <c r="G253">
        <v>6</v>
      </c>
      <c r="H253">
        <v>203</v>
      </c>
      <c r="I253">
        <v>1218</v>
      </c>
      <c r="J253">
        <v>759.78</v>
      </c>
      <c r="K253">
        <v>458.22</v>
      </c>
      <c r="L253" t="s">
        <v>18</v>
      </c>
      <c r="M253" t="s">
        <v>26</v>
      </c>
      <c r="N253" t="str">
        <f>TEXT(SalesData[[#This Row],[Order Date]],"MMM-YYYY")</f>
        <v>Oct-2024</v>
      </c>
      <c r="O253" s="2">
        <f>SalesData[[#This Row],[Profit]]/SalesData[[#This Row],[Sales]]</f>
        <v>0.37620689655172418</v>
      </c>
    </row>
    <row r="254" spans="1:15" x14ac:dyDescent="0.25">
      <c r="A254" t="s">
        <v>291</v>
      </c>
      <c r="B254" s="1">
        <v>45438</v>
      </c>
      <c r="C254" t="s">
        <v>21</v>
      </c>
      <c r="D254" t="s">
        <v>22</v>
      </c>
      <c r="E254" t="s">
        <v>16</v>
      </c>
      <c r="F254" t="s">
        <v>17</v>
      </c>
      <c r="G254">
        <v>6</v>
      </c>
      <c r="H254">
        <v>436</v>
      </c>
      <c r="I254">
        <v>2616</v>
      </c>
      <c r="J254">
        <v>1665.13</v>
      </c>
      <c r="K254">
        <v>950.87</v>
      </c>
      <c r="L254" t="s">
        <v>25</v>
      </c>
      <c r="M254" t="s">
        <v>30</v>
      </c>
      <c r="N254" t="str">
        <f>TEXT(SalesData[[#This Row],[Order Date]],"MMM-YYYY")</f>
        <v>May-2024</v>
      </c>
      <c r="O254" s="2">
        <f>SalesData[[#This Row],[Profit]]/SalesData[[#This Row],[Sales]]</f>
        <v>0.3634824159021407</v>
      </c>
    </row>
    <row r="255" spans="1:15" x14ac:dyDescent="0.25">
      <c r="A255" t="s">
        <v>292</v>
      </c>
      <c r="B255" s="1">
        <v>45333</v>
      </c>
      <c r="C255" t="s">
        <v>21</v>
      </c>
      <c r="D255" t="s">
        <v>28</v>
      </c>
      <c r="E255" t="s">
        <v>34</v>
      </c>
      <c r="F255" t="s">
        <v>47</v>
      </c>
      <c r="G255">
        <v>2</v>
      </c>
      <c r="H255">
        <v>44</v>
      </c>
      <c r="I255">
        <v>88</v>
      </c>
      <c r="J255">
        <v>60.4</v>
      </c>
      <c r="K255">
        <v>27.6</v>
      </c>
      <c r="L255" t="s">
        <v>18</v>
      </c>
      <c r="M255" t="s">
        <v>30</v>
      </c>
      <c r="N255" t="str">
        <f>TEXT(SalesData[[#This Row],[Order Date]],"MMM-YYYY")</f>
        <v>Feb-2024</v>
      </c>
      <c r="O255" s="2">
        <f>SalesData[[#This Row],[Profit]]/SalesData[[#This Row],[Sales]]</f>
        <v>0.31363636363636366</v>
      </c>
    </row>
    <row r="256" spans="1:15" x14ac:dyDescent="0.25">
      <c r="A256" t="s">
        <v>293</v>
      </c>
      <c r="B256" s="1">
        <v>45351</v>
      </c>
      <c r="C256" t="s">
        <v>38</v>
      </c>
      <c r="D256" t="s">
        <v>22</v>
      </c>
      <c r="E256" t="s">
        <v>34</v>
      </c>
      <c r="F256" t="s">
        <v>35</v>
      </c>
      <c r="G256">
        <v>4</v>
      </c>
      <c r="H256">
        <v>615</v>
      </c>
      <c r="I256">
        <v>2460</v>
      </c>
      <c r="J256">
        <v>1393.12</v>
      </c>
      <c r="K256">
        <v>1066.8800000000001</v>
      </c>
      <c r="L256" t="s">
        <v>18</v>
      </c>
      <c r="M256" t="s">
        <v>30</v>
      </c>
      <c r="N256" t="str">
        <f>TEXT(SalesData[[#This Row],[Order Date]],"MMM-YYYY")</f>
        <v>Feb-2024</v>
      </c>
      <c r="O256" s="2">
        <f>SalesData[[#This Row],[Profit]]/SalesData[[#This Row],[Sales]]</f>
        <v>0.43369105691056914</v>
      </c>
    </row>
    <row r="257" spans="1:15" x14ac:dyDescent="0.25">
      <c r="A257" t="s">
        <v>294</v>
      </c>
      <c r="B257" s="1">
        <v>45381</v>
      </c>
      <c r="C257" t="s">
        <v>41</v>
      </c>
      <c r="D257" t="s">
        <v>28</v>
      </c>
      <c r="E257" t="s">
        <v>16</v>
      </c>
      <c r="F257" t="s">
        <v>17</v>
      </c>
      <c r="G257">
        <v>6</v>
      </c>
      <c r="H257">
        <v>314</v>
      </c>
      <c r="I257">
        <v>1884</v>
      </c>
      <c r="J257">
        <v>1477.29</v>
      </c>
      <c r="K257">
        <v>406.71</v>
      </c>
      <c r="L257" t="s">
        <v>18</v>
      </c>
      <c r="M257" t="s">
        <v>30</v>
      </c>
      <c r="N257" t="str">
        <f>TEXT(SalesData[[#This Row],[Order Date]],"MMM-YYYY")</f>
        <v>Mar-2024</v>
      </c>
      <c r="O257" s="2">
        <f>SalesData[[#This Row],[Profit]]/SalesData[[#This Row],[Sales]]</f>
        <v>0.21587579617834393</v>
      </c>
    </row>
    <row r="258" spans="1:15" x14ac:dyDescent="0.25">
      <c r="A258" t="s">
        <v>295</v>
      </c>
      <c r="B258" s="1">
        <v>45572</v>
      </c>
      <c r="C258" t="s">
        <v>38</v>
      </c>
      <c r="D258" t="s">
        <v>28</v>
      </c>
      <c r="E258" t="s">
        <v>16</v>
      </c>
      <c r="F258" t="s">
        <v>17</v>
      </c>
      <c r="G258">
        <v>2</v>
      </c>
      <c r="H258">
        <v>604</v>
      </c>
      <c r="I258">
        <v>1208</v>
      </c>
      <c r="J258">
        <v>886.84</v>
      </c>
      <c r="K258">
        <v>321.16000000000003</v>
      </c>
      <c r="L258" t="s">
        <v>25</v>
      </c>
      <c r="M258" t="s">
        <v>19</v>
      </c>
      <c r="N258" t="str">
        <f>TEXT(SalesData[[#This Row],[Order Date]],"MMM-YYYY")</f>
        <v>Oct-2024</v>
      </c>
      <c r="O258" s="2">
        <f>SalesData[[#This Row],[Profit]]/SalesData[[#This Row],[Sales]]</f>
        <v>0.26586092715231791</v>
      </c>
    </row>
    <row r="259" spans="1:15" x14ac:dyDescent="0.25">
      <c r="A259" t="s">
        <v>296</v>
      </c>
      <c r="B259" s="1">
        <v>45339</v>
      </c>
      <c r="C259" t="s">
        <v>21</v>
      </c>
      <c r="D259" t="s">
        <v>22</v>
      </c>
      <c r="E259" t="s">
        <v>23</v>
      </c>
      <c r="F259" t="s">
        <v>43</v>
      </c>
      <c r="G259">
        <v>4</v>
      </c>
      <c r="H259">
        <v>732</v>
      </c>
      <c r="I259">
        <v>2928</v>
      </c>
      <c r="J259">
        <v>1818.23</v>
      </c>
      <c r="K259">
        <v>1109.77</v>
      </c>
      <c r="L259" t="s">
        <v>25</v>
      </c>
      <c r="M259" t="s">
        <v>44</v>
      </c>
      <c r="N259" t="str">
        <f>TEXT(SalesData[[#This Row],[Order Date]],"MMM-YYYY")</f>
        <v>Feb-2024</v>
      </c>
      <c r="O259" s="2">
        <f>SalesData[[#This Row],[Profit]]/SalesData[[#This Row],[Sales]]</f>
        <v>0.37901980874316937</v>
      </c>
    </row>
    <row r="260" spans="1:15" x14ac:dyDescent="0.25">
      <c r="A260" t="s">
        <v>297</v>
      </c>
      <c r="B260" s="1">
        <v>45464</v>
      </c>
      <c r="C260" t="s">
        <v>14</v>
      </c>
      <c r="D260" t="s">
        <v>22</v>
      </c>
      <c r="E260" t="s">
        <v>34</v>
      </c>
      <c r="F260" t="s">
        <v>35</v>
      </c>
      <c r="G260">
        <v>6</v>
      </c>
      <c r="H260">
        <v>358</v>
      </c>
      <c r="I260">
        <v>2148</v>
      </c>
      <c r="J260">
        <v>1692.48</v>
      </c>
      <c r="K260">
        <v>455.52</v>
      </c>
      <c r="L260" t="s">
        <v>25</v>
      </c>
      <c r="M260" t="s">
        <v>19</v>
      </c>
      <c r="N260" t="str">
        <f>TEXT(SalesData[[#This Row],[Order Date]],"MMM-YYYY")</f>
        <v>Jun-2024</v>
      </c>
      <c r="O260" s="2">
        <f>SalesData[[#This Row],[Profit]]/SalesData[[#This Row],[Sales]]</f>
        <v>0.21206703910614524</v>
      </c>
    </row>
    <row r="261" spans="1:15" x14ac:dyDescent="0.25">
      <c r="A261" t="s">
        <v>298</v>
      </c>
      <c r="B261" s="1">
        <v>45305</v>
      </c>
      <c r="C261" t="s">
        <v>14</v>
      </c>
      <c r="D261" t="s">
        <v>22</v>
      </c>
      <c r="E261" t="s">
        <v>16</v>
      </c>
      <c r="F261" t="s">
        <v>64</v>
      </c>
      <c r="G261">
        <v>1</v>
      </c>
      <c r="H261">
        <v>588</v>
      </c>
      <c r="I261">
        <v>588</v>
      </c>
      <c r="J261">
        <v>338.78</v>
      </c>
      <c r="K261">
        <v>249.22</v>
      </c>
      <c r="L261" t="s">
        <v>18</v>
      </c>
      <c r="M261" t="s">
        <v>26</v>
      </c>
      <c r="N261" t="str">
        <f>TEXT(SalesData[[#This Row],[Order Date]],"MMM-YYYY")</f>
        <v>Jan-2024</v>
      </c>
      <c r="O261" s="2">
        <f>SalesData[[#This Row],[Profit]]/SalesData[[#This Row],[Sales]]</f>
        <v>0.423843537414966</v>
      </c>
    </row>
    <row r="262" spans="1:15" x14ac:dyDescent="0.25">
      <c r="A262" t="s">
        <v>299</v>
      </c>
      <c r="B262" s="1">
        <v>45518</v>
      </c>
      <c r="C262" t="s">
        <v>38</v>
      </c>
      <c r="D262" t="s">
        <v>15</v>
      </c>
      <c r="E262" t="s">
        <v>16</v>
      </c>
      <c r="F262" t="s">
        <v>17</v>
      </c>
      <c r="G262">
        <v>10</v>
      </c>
      <c r="H262">
        <v>336</v>
      </c>
      <c r="I262">
        <v>3360</v>
      </c>
      <c r="J262">
        <v>2522.13</v>
      </c>
      <c r="K262">
        <v>837.87</v>
      </c>
      <c r="L262" t="s">
        <v>25</v>
      </c>
      <c r="M262" t="s">
        <v>26</v>
      </c>
      <c r="N262" t="str">
        <f>TEXT(SalesData[[#This Row],[Order Date]],"MMM-YYYY")</f>
        <v>Aug-2024</v>
      </c>
      <c r="O262" s="2">
        <f>SalesData[[#This Row],[Profit]]/SalesData[[#This Row],[Sales]]</f>
        <v>0.24936607142857142</v>
      </c>
    </row>
    <row r="263" spans="1:15" x14ac:dyDescent="0.25">
      <c r="A263" t="s">
        <v>300</v>
      </c>
      <c r="B263" s="1">
        <v>45319</v>
      </c>
      <c r="C263" t="s">
        <v>14</v>
      </c>
      <c r="D263" t="s">
        <v>42</v>
      </c>
      <c r="E263" t="s">
        <v>23</v>
      </c>
      <c r="F263" t="s">
        <v>43</v>
      </c>
      <c r="G263">
        <v>9</v>
      </c>
      <c r="H263">
        <v>650</v>
      </c>
      <c r="I263">
        <v>5850</v>
      </c>
      <c r="J263">
        <v>4602.82</v>
      </c>
      <c r="K263">
        <v>1247.18</v>
      </c>
      <c r="L263" t="s">
        <v>18</v>
      </c>
      <c r="M263" t="s">
        <v>44</v>
      </c>
      <c r="N263" t="str">
        <f>TEXT(SalesData[[#This Row],[Order Date]],"MMM-YYYY")</f>
        <v>Jan-2024</v>
      </c>
      <c r="O263" s="2">
        <f>SalesData[[#This Row],[Profit]]/SalesData[[#This Row],[Sales]]</f>
        <v>0.21319316239316241</v>
      </c>
    </row>
    <row r="264" spans="1:15" x14ac:dyDescent="0.25">
      <c r="A264" t="s">
        <v>301</v>
      </c>
      <c r="B264" s="1">
        <v>45393</v>
      </c>
      <c r="C264" t="s">
        <v>21</v>
      </c>
      <c r="D264" t="s">
        <v>42</v>
      </c>
      <c r="E264" t="s">
        <v>23</v>
      </c>
      <c r="F264" t="s">
        <v>43</v>
      </c>
      <c r="G264">
        <v>3</v>
      </c>
      <c r="H264">
        <v>158</v>
      </c>
      <c r="I264">
        <v>474</v>
      </c>
      <c r="J264">
        <v>348.74</v>
      </c>
      <c r="K264">
        <v>125.26</v>
      </c>
      <c r="L264" t="s">
        <v>18</v>
      </c>
      <c r="M264" t="s">
        <v>44</v>
      </c>
      <c r="N264" t="str">
        <f>TEXT(SalesData[[#This Row],[Order Date]],"MMM-YYYY")</f>
        <v>Apr-2024</v>
      </c>
      <c r="O264" s="2">
        <f>SalesData[[#This Row],[Profit]]/SalesData[[#This Row],[Sales]]</f>
        <v>0.26426160337552745</v>
      </c>
    </row>
    <row r="265" spans="1:15" x14ac:dyDescent="0.25">
      <c r="A265" t="s">
        <v>302</v>
      </c>
      <c r="B265" s="1">
        <v>45485</v>
      </c>
      <c r="C265" t="s">
        <v>14</v>
      </c>
      <c r="D265" t="s">
        <v>28</v>
      </c>
      <c r="E265" t="s">
        <v>23</v>
      </c>
      <c r="F265" t="s">
        <v>39</v>
      </c>
      <c r="G265">
        <v>3</v>
      </c>
      <c r="H265">
        <v>371</v>
      </c>
      <c r="I265">
        <v>1113</v>
      </c>
      <c r="J265">
        <v>660.04</v>
      </c>
      <c r="K265">
        <v>452.96</v>
      </c>
      <c r="L265" t="s">
        <v>25</v>
      </c>
      <c r="M265" t="s">
        <v>44</v>
      </c>
      <c r="N265" t="str">
        <f>TEXT(SalesData[[#This Row],[Order Date]],"MMM-YYYY")</f>
        <v>Jul-2024</v>
      </c>
      <c r="O265" s="2">
        <f>SalesData[[#This Row],[Profit]]/SalesData[[#This Row],[Sales]]</f>
        <v>0.40697214734950582</v>
      </c>
    </row>
    <row r="266" spans="1:15" x14ac:dyDescent="0.25">
      <c r="A266" t="s">
        <v>303</v>
      </c>
      <c r="B266" s="1">
        <v>45298</v>
      </c>
      <c r="C266" t="s">
        <v>14</v>
      </c>
      <c r="D266" t="s">
        <v>22</v>
      </c>
      <c r="E266" t="s">
        <v>16</v>
      </c>
      <c r="F266" t="s">
        <v>64</v>
      </c>
      <c r="G266">
        <v>5</v>
      </c>
      <c r="H266">
        <v>89</v>
      </c>
      <c r="I266">
        <v>445</v>
      </c>
      <c r="J266">
        <v>224.99</v>
      </c>
      <c r="K266">
        <v>220.01</v>
      </c>
      <c r="L266" t="s">
        <v>18</v>
      </c>
      <c r="M266" t="s">
        <v>26</v>
      </c>
      <c r="N266" t="str">
        <f>TEXT(SalesData[[#This Row],[Order Date]],"MMM-YYYY")</f>
        <v>Jan-2024</v>
      </c>
      <c r="O266" s="2">
        <f>SalesData[[#This Row],[Profit]]/SalesData[[#This Row],[Sales]]</f>
        <v>0.49440449438202244</v>
      </c>
    </row>
    <row r="267" spans="1:15" x14ac:dyDescent="0.25">
      <c r="A267" t="s">
        <v>304</v>
      </c>
      <c r="B267" s="1">
        <v>45365</v>
      </c>
      <c r="C267" t="s">
        <v>38</v>
      </c>
      <c r="D267" t="s">
        <v>22</v>
      </c>
      <c r="E267" t="s">
        <v>16</v>
      </c>
      <c r="F267" t="s">
        <v>64</v>
      </c>
      <c r="G267">
        <v>6</v>
      </c>
      <c r="H267">
        <v>297</v>
      </c>
      <c r="I267">
        <v>1782</v>
      </c>
      <c r="J267">
        <v>1319.61</v>
      </c>
      <c r="K267">
        <v>462.39</v>
      </c>
      <c r="L267" t="s">
        <v>25</v>
      </c>
      <c r="M267" t="s">
        <v>19</v>
      </c>
      <c r="N267" t="str">
        <f>TEXT(SalesData[[#This Row],[Order Date]],"MMM-YYYY")</f>
        <v>Mar-2024</v>
      </c>
      <c r="O267" s="2">
        <f>SalesData[[#This Row],[Profit]]/SalesData[[#This Row],[Sales]]</f>
        <v>0.25947811447811447</v>
      </c>
    </row>
    <row r="268" spans="1:15" x14ac:dyDescent="0.25">
      <c r="A268" t="s">
        <v>305</v>
      </c>
      <c r="B268" s="1">
        <v>45578</v>
      </c>
      <c r="C268" t="s">
        <v>14</v>
      </c>
      <c r="D268" t="s">
        <v>28</v>
      </c>
      <c r="E268" t="s">
        <v>34</v>
      </c>
      <c r="F268" t="s">
        <v>47</v>
      </c>
      <c r="G268">
        <v>1</v>
      </c>
      <c r="H268">
        <v>155</v>
      </c>
      <c r="I268">
        <v>155</v>
      </c>
      <c r="J268">
        <v>94.52</v>
      </c>
      <c r="K268">
        <v>60.48</v>
      </c>
      <c r="L268" t="s">
        <v>25</v>
      </c>
      <c r="M268" t="s">
        <v>19</v>
      </c>
      <c r="N268" t="str">
        <f>TEXT(SalesData[[#This Row],[Order Date]],"MMM-YYYY")</f>
        <v>Oct-2024</v>
      </c>
      <c r="O268" s="2">
        <f>SalesData[[#This Row],[Profit]]/SalesData[[#This Row],[Sales]]</f>
        <v>0.39019354838709674</v>
      </c>
    </row>
    <row r="269" spans="1:15" x14ac:dyDescent="0.25">
      <c r="A269" t="s">
        <v>306</v>
      </c>
      <c r="B269" s="1">
        <v>45374</v>
      </c>
      <c r="C269" t="s">
        <v>41</v>
      </c>
      <c r="D269" t="s">
        <v>22</v>
      </c>
      <c r="E269" t="s">
        <v>34</v>
      </c>
      <c r="F269" t="s">
        <v>53</v>
      </c>
      <c r="G269">
        <v>5</v>
      </c>
      <c r="H269">
        <v>785</v>
      </c>
      <c r="I269">
        <v>3925</v>
      </c>
      <c r="J269">
        <v>2041.46</v>
      </c>
      <c r="K269">
        <v>1883.54</v>
      </c>
      <c r="L269" t="s">
        <v>25</v>
      </c>
      <c r="M269" t="s">
        <v>44</v>
      </c>
      <c r="N269" t="str">
        <f>TEXT(SalesData[[#This Row],[Order Date]],"MMM-YYYY")</f>
        <v>Mar-2024</v>
      </c>
      <c r="O269" s="2">
        <f>SalesData[[#This Row],[Profit]]/SalesData[[#This Row],[Sales]]</f>
        <v>0.47988280254777071</v>
      </c>
    </row>
    <row r="270" spans="1:15" x14ac:dyDescent="0.25">
      <c r="A270" t="s">
        <v>307</v>
      </c>
      <c r="B270" s="1">
        <v>45525</v>
      </c>
      <c r="C270" t="s">
        <v>41</v>
      </c>
      <c r="D270" t="s">
        <v>22</v>
      </c>
      <c r="E270" t="s">
        <v>16</v>
      </c>
      <c r="F270" t="s">
        <v>17</v>
      </c>
      <c r="G270">
        <v>3</v>
      </c>
      <c r="H270">
        <v>472</v>
      </c>
      <c r="I270">
        <v>1416</v>
      </c>
      <c r="J270">
        <v>1103.6400000000001</v>
      </c>
      <c r="K270">
        <v>312.36</v>
      </c>
      <c r="L270" t="s">
        <v>25</v>
      </c>
      <c r="M270" t="s">
        <v>19</v>
      </c>
      <c r="N270" t="str">
        <f>TEXT(SalesData[[#This Row],[Order Date]],"MMM-YYYY")</f>
        <v>Aug-2024</v>
      </c>
      <c r="O270" s="2">
        <f>SalesData[[#This Row],[Profit]]/SalesData[[#This Row],[Sales]]</f>
        <v>0.22059322033898307</v>
      </c>
    </row>
    <row r="271" spans="1:15" x14ac:dyDescent="0.25">
      <c r="A271" t="s">
        <v>308</v>
      </c>
      <c r="B271" s="1">
        <v>45458</v>
      </c>
      <c r="C271" t="s">
        <v>21</v>
      </c>
      <c r="D271" t="s">
        <v>22</v>
      </c>
      <c r="E271" t="s">
        <v>16</v>
      </c>
      <c r="F271" t="s">
        <v>29</v>
      </c>
      <c r="G271">
        <v>1</v>
      </c>
      <c r="H271">
        <v>990</v>
      </c>
      <c r="I271">
        <v>990</v>
      </c>
      <c r="J271">
        <v>696.1</v>
      </c>
      <c r="K271">
        <v>293.89999999999998</v>
      </c>
      <c r="L271" t="s">
        <v>18</v>
      </c>
      <c r="M271" t="s">
        <v>30</v>
      </c>
      <c r="N271" t="str">
        <f>TEXT(SalesData[[#This Row],[Order Date]],"MMM-YYYY")</f>
        <v>Jun-2024</v>
      </c>
      <c r="O271" s="2">
        <f>SalesData[[#This Row],[Profit]]/SalesData[[#This Row],[Sales]]</f>
        <v>0.29686868686868684</v>
      </c>
    </row>
    <row r="272" spans="1:15" x14ac:dyDescent="0.25">
      <c r="A272" t="s">
        <v>309</v>
      </c>
      <c r="B272" s="1">
        <v>45408</v>
      </c>
      <c r="C272" t="s">
        <v>14</v>
      </c>
      <c r="D272" t="s">
        <v>42</v>
      </c>
      <c r="E272" t="s">
        <v>23</v>
      </c>
      <c r="F272" t="s">
        <v>39</v>
      </c>
      <c r="G272">
        <v>3</v>
      </c>
      <c r="H272">
        <v>788</v>
      </c>
      <c r="I272">
        <v>2364</v>
      </c>
      <c r="J272">
        <v>1450.75</v>
      </c>
      <c r="K272">
        <v>913.25</v>
      </c>
      <c r="L272" t="s">
        <v>25</v>
      </c>
      <c r="M272" t="s">
        <v>19</v>
      </c>
      <c r="N272" t="str">
        <f>TEXT(SalesData[[#This Row],[Order Date]],"MMM-YYYY")</f>
        <v>Apr-2024</v>
      </c>
      <c r="O272" s="2">
        <f>SalesData[[#This Row],[Profit]]/SalesData[[#This Row],[Sales]]</f>
        <v>0.38631556683587143</v>
      </c>
    </row>
    <row r="273" spans="1:15" x14ac:dyDescent="0.25">
      <c r="A273" t="s">
        <v>310</v>
      </c>
      <c r="B273" s="1">
        <v>45311</v>
      </c>
      <c r="C273" t="s">
        <v>38</v>
      </c>
      <c r="D273" t="s">
        <v>22</v>
      </c>
      <c r="E273" t="s">
        <v>34</v>
      </c>
      <c r="F273" t="s">
        <v>47</v>
      </c>
      <c r="G273">
        <v>8</v>
      </c>
      <c r="H273">
        <v>830</v>
      </c>
      <c r="I273">
        <v>6640</v>
      </c>
      <c r="J273">
        <v>4541.7700000000004</v>
      </c>
      <c r="K273">
        <v>2098.23</v>
      </c>
      <c r="L273" t="s">
        <v>18</v>
      </c>
      <c r="M273" t="s">
        <v>19</v>
      </c>
      <c r="N273" t="str">
        <f>TEXT(SalesData[[#This Row],[Order Date]],"MMM-YYYY")</f>
        <v>Jan-2024</v>
      </c>
      <c r="O273" s="2">
        <f>SalesData[[#This Row],[Profit]]/SalesData[[#This Row],[Sales]]</f>
        <v>0.31599849397590363</v>
      </c>
    </row>
    <row r="274" spans="1:15" x14ac:dyDescent="0.25">
      <c r="A274" t="s">
        <v>311</v>
      </c>
      <c r="B274" s="1">
        <v>45302</v>
      </c>
      <c r="C274" t="s">
        <v>14</v>
      </c>
      <c r="D274" t="s">
        <v>28</v>
      </c>
      <c r="E274" t="s">
        <v>16</v>
      </c>
      <c r="F274" t="s">
        <v>64</v>
      </c>
      <c r="G274">
        <v>1</v>
      </c>
      <c r="H274">
        <v>758</v>
      </c>
      <c r="I274">
        <v>758</v>
      </c>
      <c r="J274">
        <v>562.86</v>
      </c>
      <c r="K274">
        <v>195.14</v>
      </c>
      <c r="L274" t="s">
        <v>25</v>
      </c>
      <c r="M274" t="s">
        <v>26</v>
      </c>
      <c r="N274" t="str">
        <f>TEXT(SalesData[[#This Row],[Order Date]],"MMM-YYYY")</f>
        <v>Jan-2024</v>
      </c>
      <c r="O274" s="2">
        <f>SalesData[[#This Row],[Profit]]/SalesData[[#This Row],[Sales]]</f>
        <v>0.25744063324538258</v>
      </c>
    </row>
    <row r="275" spans="1:15" x14ac:dyDescent="0.25">
      <c r="A275" t="s">
        <v>312</v>
      </c>
      <c r="B275" s="1">
        <v>45447</v>
      </c>
      <c r="C275" t="s">
        <v>21</v>
      </c>
      <c r="D275" t="s">
        <v>42</v>
      </c>
      <c r="E275" t="s">
        <v>16</v>
      </c>
      <c r="F275" t="s">
        <v>29</v>
      </c>
      <c r="G275">
        <v>3</v>
      </c>
      <c r="H275">
        <v>490</v>
      </c>
      <c r="I275">
        <v>1470</v>
      </c>
      <c r="J275">
        <v>1095.97</v>
      </c>
      <c r="K275">
        <v>374.03</v>
      </c>
      <c r="L275" t="s">
        <v>25</v>
      </c>
      <c r="M275" t="s">
        <v>44</v>
      </c>
      <c r="N275" t="str">
        <f>TEXT(SalesData[[#This Row],[Order Date]],"MMM-YYYY")</f>
        <v>Jun-2024</v>
      </c>
      <c r="O275" s="2">
        <f>SalesData[[#This Row],[Profit]]/SalesData[[#This Row],[Sales]]</f>
        <v>0.25444217687074827</v>
      </c>
    </row>
    <row r="276" spans="1:15" x14ac:dyDescent="0.25">
      <c r="A276" t="s">
        <v>313</v>
      </c>
      <c r="B276" s="1">
        <v>45558</v>
      </c>
      <c r="C276" t="s">
        <v>38</v>
      </c>
      <c r="D276" t="s">
        <v>22</v>
      </c>
      <c r="E276" t="s">
        <v>34</v>
      </c>
      <c r="F276" t="s">
        <v>47</v>
      </c>
      <c r="G276">
        <v>2</v>
      </c>
      <c r="H276">
        <v>406</v>
      </c>
      <c r="I276">
        <v>812</v>
      </c>
      <c r="J276">
        <v>601.76</v>
      </c>
      <c r="K276">
        <v>210.24</v>
      </c>
      <c r="L276" t="s">
        <v>18</v>
      </c>
      <c r="M276" t="s">
        <v>30</v>
      </c>
      <c r="N276" t="str">
        <f>TEXT(SalesData[[#This Row],[Order Date]],"MMM-YYYY")</f>
        <v>Sep-2024</v>
      </c>
      <c r="O276" s="2">
        <f>SalesData[[#This Row],[Profit]]/SalesData[[#This Row],[Sales]]</f>
        <v>0.25891625615763547</v>
      </c>
    </row>
    <row r="277" spans="1:15" x14ac:dyDescent="0.25">
      <c r="A277" t="s">
        <v>314</v>
      </c>
      <c r="B277" s="1">
        <v>45319</v>
      </c>
      <c r="C277" t="s">
        <v>14</v>
      </c>
      <c r="D277" t="s">
        <v>28</v>
      </c>
      <c r="E277" t="s">
        <v>23</v>
      </c>
      <c r="F277" t="s">
        <v>39</v>
      </c>
      <c r="G277">
        <v>3</v>
      </c>
      <c r="H277">
        <v>785</v>
      </c>
      <c r="I277">
        <v>2355</v>
      </c>
      <c r="J277">
        <v>1727.93</v>
      </c>
      <c r="K277">
        <v>627.07000000000005</v>
      </c>
      <c r="L277" t="s">
        <v>25</v>
      </c>
      <c r="M277" t="s">
        <v>30</v>
      </c>
      <c r="N277" t="str">
        <f>TEXT(SalesData[[#This Row],[Order Date]],"MMM-YYYY")</f>
        <v>Jan-2024</v>
      </c>
      <c r="O277" s="2">
        <f>SalesData[[#This Row],[Profit]]/SalesData[[#This Row],[Sales]]</f>
        <v>0.26627176220806797</v>
      </c>
    </row>
    <row r="278" spans="1:15" x14ac:dyDescent="0.25">
      <c r="A278" t="s">
        <v>315</v>
      </c>
      <c r="B278" s="1">
        <v>45518</v>
      </c>
      <c r="C278" t="s">
        <v>41</v>
      </c>
      <c r="D278" t="s">
        <v>28</v>
      </c>
      <c r="E278" t="s">
        <v>16</v>
      </c>
      <c r="F278" t="s">
        <v>29</v>
      </c>
      <c r="G278">
        <v>10</v>
      </c>
      <c r="H278">
        <v>940</v>
      </c>
      <c r="I278">
        <v>9400</v>
      </c>
      <c r="J278">
        <v>5050.26</v>
      </c>
      <c r="K278">
        <v>4349.74</v>
      </c>
      <c r="L278" t="s">
        <v>18</v>
      </c>
      <c r="M278" t="s">
        <v>30</v>
      </c>
      <c r="N278" t="str">
        <f>TEXT(SalesData[[#This Row],[Order Date]],"MMM-YYYY")</f>
        <v>Aug-2024</v>
      </c>
      <c r="O278" s="2">
        <f>SalesData[[#This Row],[Profit]]/SalesData[[#This Row],[Sales]]</f>
        <v>0.46273829787234039</v>
      </c>
    </row>
    <row r="279" spans="1:15" x14ac:dyDescent="0.25">
      <c r="A279" t="s">
        <v>316</v>
      </c>
      <c r="B279" s="1">
        <v>45474</v>
      </c>
      <c r="C279" t="s">
        <v>38</v>
      </c>
      <c r="D279" t="s">
        <v>15</v>
      </c>
      <c r="E279" t="s">
        <v>23</v>
      </c>
      <c r="F279" t="s">
        <v>43</v>
      </c>
      <c r="G279">
        <v>8</v>
      </c>
      <c r="H279">
        <v>768</v>
      </c>
      <c r="I279">
        <v>6144</v>
      </c>
      <c r="J279">
        <v>4749.3599999999997</v>
      </c>
      <c r="K279">
        <v>1394.64</v>
      </c>
      <c r="L279" t="s">
        <v>18</v>
      </c>
      <c r="M279" t="s">
        <v>26</v>
      </c>
      <c r="N279" t="str">
        <f>TEXT(SalesData[[#This Row],[Order Date]],"MMM-YYYY")</f>
        <v>Jul-2024</v>
      </c>
      <c r="O279" s="2">
        <f>SalesData[[#This Row],[Profit]]/SalesData[[#This Row],[Sales]]</f>
        <v>0.22699218750000003</v>
      </c>
    </row>
    <row r="280" spans="1:15" x14ac:dyDescent="0.25">
      <c r="A280" t="s">
        <v>317</v>
      </c>
      <c r="B280" s="1">
        <v>45357</v>
      </c>
      <c r="C280" t="s">
        <v>38</v>
      </c>
      <c r="D280" t="s">
        <v>42</v>
      </c>
      <c r="E280" t="s">
        <v>16</v>
      </c>
      <c r="F280" t="s">
        <v>17</v>
      </c>
      <c r="G280">
        <v>8</v>
      </c>
      <c r="H280">
        <v>104</v>
      </c>
      <c r="I280">
        <v>832</v>
      </c>
      <c r="J280">
        <v>450.48</v>
      </c>
      <c r="K280">
        <v>381.52</v>
      </c>
      <c r="L280" t="s">
        <v>25</v>
      </c>
      <c r="M280" t="s">
        <v>30</v>
      </c>
      <c r="N280" t="str">
        <f>TEXT(SalesData[[#This Row],[Order Date]],"MMM-YYYY")</f>
        <v>Mar-2024</v>
      </c>
      <c r="O280" s="2">
        <f>SalesData[[#This Row],[Profit]]/SalesData[[#This Row],[Sales]]</f>
        <v>0.45855769230769228</v>
      </c>
    </row>
    <row r="281" spans="1:15" x14ac:dyDescent="0.25">
      <c r="A281" t="s">
        <v>318</v>
      </c>
      <c r="B281" s="1">
        <v>45467</v>
      </c>
      <c r="C281" t="s">
        <v>41</v>
      </c>
      <c r="D281" t="s">
        <v>15</v>
      </c>
      <c r="E281" t="s">
        <v>34</v>
      </c>
      <c r="F281" t="s">
        <v>53</v>
      </c>
      <c r="G281">
        <v>8</v>
      </c>
      <c r="H281">
        <v>455</v>
      </c>
      <c r="I281">
        <v>3640</v>
      </c>
      <c r="J281">
        <v>1903.48</v>
      </c>
      <c r="K281">
        <v>1736.52</v>
      </c>
      <c r="L281" t="s">
        <v>18</v>
      </c>
      <c r="M281" t="s">
        <v>44</v>
      </c>
      <c r="N281" t="str">
        <f>TEXT(SalesData[[#This Row],[Order Date]],"MMM-YYYY")</f>
        <v>Jun-2024</v>
      </c>
      <c r="O281" s="2">
        <f>SalesData[[#This Row],[Profit]]/SalesData[[#This Row],[Sales]]</f>
        <v>0.47706593406593406</v>
      </c>
    </row>
    <row r="282" spans="1:15" x14ac:dyDescent="0.25">
      <c r="A282" t="s">
        <v>319</v>
      </c>
      <c r="B282" s="1">
        <v>45450</v>
      </c>
      <c r="C282" t="s">
        <v>41</v>
      </c>
      <c r="D282" t="s">
        <v>15</v>
      </c>
      <c r="E282" t="s">
        <v>16</v>
      </c>
      <c r="F282" t="s">
        <v>64</v>
      </c>
      <c r="G282">
        <v>6</v>
      </c>
      <c r="H282">
        <v>960</v>
      </c>
      <c r="I282">
        <v>5760</v>
      </c>
      <c r="J282">
        <v>4208.3999999999996</v>
      </c>
      <c r="K282">
        <v>1551.6</v>
      </c>
      <c r="L282" t="s">
        <v>18</v>
      </c>
      <c r="M282" t="s">
        <v>19</v>
      </c>
      <c r="N282" t="str">
        <f>TEXT(SalesData[[#This Row],[Order Date]],"MMM-YYYY")</f>
        <v>Jun-2024</v>
      </c>
      <c r="O282" s="2">
        <f>SalesData[[#This Row],[Profit]]/SalesData[[#This Row],[Sales]]</f>
        <v>0.26937499999999998</v>
      </c>
    </row>
    <row r="283" spans="1:15" x14ac:dyDescent="0.25">
      <c r="A283" t="s">
        <v>320</v>
      </c>
      <c r="B283" s="1">
        <v>45417</v>
      </c>
      <c r="C283" t="s">
        <v>41</v>
      </c>
      <c r="D283" t="s">
        <v>15</v>
      </c>
      <c r="E283" t="s">
        <v>34</v>
      </c>
      <c r="F283" t="s">
        <v>47</v>
      </c>
      <c r="G283">
        <v>6</v>
      </c>
      <c r="H283">
        <v>918</v>
      </c>
      <c r="I283">
        <v>5508</v>
      </c>
      <c r="J283">
        <v>3934.08</v>
      </c>
      <c r="K283">
        <v>1573.92</v>
      </c>
      <c r="L283" t="s">
        <v>25</v>
      </c>
      <c r="M283" t="s">
        <v>19</v>
      </c>
      <c r="N283" t="str">
        <f>TEXT(SalesData[[#This Row],[Order Date]],"MMM-YYYY")</f>
        <v>May-2024</v>
      </c>
      <c r="O283" s="2">
        <f>SalesData[[#This Row],[Profit]]/SalesData[[#This Row],[Sales]]</f>
        <v>0.2857516339869281</v>
      </c>
    </row>
    <row r="284" spans="1:15" x14ac:dyDescent="0.25">
      <c r="A284" t="s">
        <v>321</v>
      </c>
      <c r="B284" s="1">
        <v>45364</v>
      </c>
      <c r="C284" t="s">
        <v>21</v>
      </c>
      <c r="D284" t="s">
        <v>22</v>
      </c>
      <c r="E284" t="s">
        <v>34</v>
      </c>
      <c r="F284" t="s">
        <v>53</v>
      </c>
      <c r="G284">
        <v>4</v>
      </c>
      <c r="H284">
        <v>949</v>
      </c>
      <c r="I284">
        <v>3796</v>
      </c>
      <c r="J284">
        <v>2186.69</v>
      </c>
      <c r="K284">
        <v>1609.31</v>
      </c>
      <c r="L284" t="s">
        <v>18</v>
      </c>
      <c r="M284" t="s">
        <v>30</v>
      </c>
      <c r="N284" t="str">
        <f>TEXT(SalesData[[#This Row],[Order Date]],"MMM-YYYY")</f>
        <v>Mar-2024</v>
      </c>
      <c r="O284" s="2">
        <f>SalesData[[#This Row],[Profit]]/SalesData[[#This Row],[Sales]]</f>
        <v>0.42394889357218124</v>
      </c>
    </row>
    <row r="285" spans="1:15" x14ac:dyDescent="0.25">
      <c r="A285" t="s">
        <v>322</v>
      </c>
      <c r="B285" s="1">
        <v>45334</v>
      </c>
      <c r="C285" t="s">
        <v>21</v>
      </c>
      <c r="D285" t="s">
        <v>28</v>
      </c>
      <c r="E285" t="s">
        <v>23</v>
      </c>
      <c r="F285" t="s">
        <v>24</v>
      </c>
      <c r="G285">
        <v>4</v>
      </c>
      <c r="H285">
        <v>674</v>
      </c>
      <c r="I285">
        <v>2696</v>
      </c>
      <c r="J285">
        <v>1473.93</v>
      </c>
      <c r="K285">
        <v>1222.07</v>
      </c>
      <c r="L285" t="s">
        <v>25</v>
      </c>
      <c r="M285" t="s">
        <v>44</v>
      </c>
      <c r="N285" t="str">
        <f>TEXT(SalesData[[#This Row],[Order Date]],"MMM-YYYY")</f>
        <v>Feb-2024</v>
      </c>
      <c r="O285" s="2">
        <f>SalesData[[#This Row],[Profit]]/SalesData[[#This Row],[Sales]]</f>
        <v>0.45329005934718097</v>
      </c>
    </row>
    <row r="286" spans="1:15" x14ac:dyDescent="0.25">
      <c r="A286" t="s">
        <v>323</v>
      </c>
      <c r="B286" s="1">
        <v>45462</v>
      </c>
      <c r="C286" t="s">
        <v>14</v>
      </c>
      <c r="D286" t="s">
        <v>28</v>
      </c>
      <c r="E286" t="s">
        <v>23</v>
      </c>
      <c r="F286" t="s">
        <v>39</v>
      </c>
      <c r="G286">
        <v>4</v>
      </c>
      <c r="H286">
        <v>118</v>
      </c>
      <c r="I286">
        <v>472</v>
      </c>
      <c r="J286">
        <v>250.25</v>
      </c>
      <c r="K286">
        <v>221.75</v>
      </c>
      <c r="L286" t="s">
        <v>18</v>
      </c>
      <c r="M286" t="s">
        <v>44</v>
      </c>
      <c r="N286" t="str">
        <f>TEXT(SalesData[[#This Row],[Order Date]],"MMM-YYYY")</f>
        <v>Jun-2024</v>
      </c>
      <c r="O286" s="2">
        <f>SalesData[[#This Row],[Profit]]/SalesData[[#This Row],[Sales]]</f>
        <v>0.4698093220338983</v>
      </c>
    </row>
    <row r="287" spans="1:15" x14ac:dyDescent="0.25">
      <c r="A287" t="s">
        <v>324</v>
      </c>
      <c r="B287" s="1">
        <v>45371</v>
      </c>
      <c r="C287" t="s">
        <v>41</v>
      </c>
      <c r="D287" t="s">
        <v>15</v>
      </c>
      <c r="E287" t="s">
        <v>34</v>
      </c>
      <c r="F287" t="s">
        <v>53</v>
      </c>
      <c r="G287">
        <v>5</v>
      </c>
      <c r="H287">
        <v>251</v>
      </c>
      <c r="I287">
        <v>1255</v>
      </c>
      <c r="J287">
        <v>730.87</v>
      </c>
      <c r="K287">
        <v>524.13</v>
      </c>
      <c r="L287" t="s">
        <v>18</v>
      </c>
      <c r="M287" t="s">
        <v>44</v>
      </c>
      <c r="N287" t="str">
        <f>TEXT(SalesData[[#This Row],[Order Date]],"MMM-YYYY")</f>
        <v>Mar-2024</v>
      </c>
      <c r="O287" s="2">
        <f>SalesData[[#This Row],[Profit]]/SalesData[[#This Row],[Sales]]</f>
        <v>0.41763346613545815</v>
      </c>
    </row>
    <row r="288" spans="1:15" x14ac:dyDescent="0.25">
      <c r="A288" t="s">
        <v>325</v>
      </c>
      <c r="B288" s="1">
        <v>45300</v>
      </c>
      <c r="C288" t="s">
        <v>21</v>
      </c>
      <c r="D288" t="s">
        <v>28</v>
      </c>
      <c r="E288" t="s">
        <v>16</v>
      </c>
      <c r="F288" t="s">
        <v>17</v>
      </c>
      <c r="G288">
        <v>2</v>
      </c>
      <c r="H288">
        <v>251</v>
      </c>
      <c r="I288">
        <v>502</v>
      </c>
      <c r="J288">
        <v>280.26</v>
      </c>
      <c r="K288">
        <v>221.74</v>
      </c>
      <c r="L288" t="s">
        <v>25</v>
      </c>
      <c r="M288" t="s">
        <v>26</v>
      </c>
      <c r="N288" t="str">
        <f>TEXT(SalesData[[#This Row],[Order Date]],"MMM-YYYY")</f>
        <v>Jan-2024</v>
      </c>
      <c r="O288" s="2">
        <f>SalesData[[#This Row],[Profit]]/SalesData[[#This Row],[Sales]]</f>
        <v>0.44171314741035861</v>
      </c>
    </row>
    <row r="289" spans="1:15" x14ac:dyDescent="0.25">
      <c r="A289" t="s">
        <v>326</v>
      </c>
      <c r="B289" s="1">
        <v>45555</v>
      </c>
      <c r="C289" t="s">
        <v>41</v>
      </c>
      <c r="D289" t="s">
        <v>42</v>
      </c>
      <c r="E289" t="s">
        <v>23</v>
      </c>
      <c r="F289" t="s">
        <v>39</v>
      </c>
      <c r="G289">
        <v>10</v>
      </c>
      <c r="H289">
        <v>522</v>
      </c>
      <c r="I289">
        <v>5220</v>
      </c>
      <c r="J289">
        <v>4068.81</v>
      </c>
      <c r="K289">
        <v>1151.19</v>
      </c>
      <c r="L289" t="s">
        <v>18</v>
      </c>
      <c r="M289" t="s">
        <v>44</v>
      </c>
      <c r="N289" t="str">
        <f>TEXT(SalesData[[#This Row],[Order Date]],"MMM-YYYY")</f>
        <v>Sep-2024</v>
      </c>
      <c r="O289" s="2">
        <f>SalesData[[#This Row],[Profit]]/SalesData[[#This Row],[Sales]]</f>
        <v>0.2205344827586207</v>
      </c>
    </row>
    <row r="290" spans="1:15" x14ac:dyDescent="0.25">
      <c r="A290" t="s">
        <v>327</v>
      </c>
      <c r="B290" s="1">
        <v>45497</v>
      </c>
      <c r="C290" t="s">
        <v>41</v>
      </c>
      <c r="D290" t="s">
        <v>28</v>
      </c>
      <c r="E290" t="s">
        <v>34</v>
      </c>
      <c r="F290" t="s">
        <v>47</v>
      </c>
      <c r="G290">
        <v>7</v>
      </c>
      <c r="H290">
        <v>33</v>
      </c>
      <c r="I290">
        <v>231</v>
      </c>
      <c r="J290">
        <v>174.46</v>
      </c>
      <c r="K290">
        <v>56.54</v>
      </c>
      <c r="L290" t="s">
        <v>18</v>
      </c>
      <c r="M290" t="s">
        <v>19</v>
      </c>
      <c r="N290" t="str">
        <f>TEXT(SalesData[[#This Row],[Order Date]],"MMM-YYYY")</f>
        <v>Jul-2024</v>
      </c>
      <c r="O290" s="2">
        <f>SalesData[[#This Row],[Profit]]/SalesData[[#This Row],[Sales]]</f>
        <v>0.24476190476190476</v>
      </c>
    </row>
    <row r="291" spans="1:15" x14ac:dyDescent="0.25">
      <c r="A291" t="s">
        <v>328</v>
      </c>
      <c r="B291" s="1">
        <v>45414</v>
      </c>
      <c r="C291" t="s">
        <v>38</v>
      </c>
      <c r="D291" t="s">
        <v>42</v>
      </c>
      <c r="E291" t="s">
        <v>23</v>
      </c>
      <c r="F291" t="s">
        <v>43</v>
      </c>
      <c r="G291">
        <v>4</v>
      </c>
      <c r="H291">
        <v>603</v>
      </c>
      <c r="I291">
        <v>2412</v>
      </c>
      <c r="J291">
        <v>1273.1500000000001</v>
      </c>
      <c r="K291">
        <v>1138.8499999999999</v>
      </c>
      <c r="L291" t="s">
        <v>18</v>
      </c>
      <c r="M291" t="s">
        <v>44</v>
      </c>
      <c r="N291" t="str">
        <f>TEXT(SalesData[[#This Row],[Order Date]],"MMM-YYYY")</f>
        <v>May-2024</v>
      </c>
      <c r="O291" s="2">
        <f>SalesData[[#This Row],[Profit]]/SalesData[[#This Row],[Sales]]</f>
        <v>0.47216003316749583</v>
      </c>
    </row>
    <row r="292" spans="1:15" x14ac:dyDescent="0.25">
      <c r="A292" t="s">
        <v>329</v>
      </c>
      <c r="B292" s="1">
        <v>45515</v>
      </c>
      <c r="C292" t="s">
        <v>41</v>
      </c>
      <c r="D292" t="s">
        <v>15</v>
      </c>
      <c r="E292" t="s">
        <v>23</v>
      </c>
      <c r="F292" t="s">
        <v>43</v>
      </c>
      <c r="G292">
        <v>5</v>
      </c>
      <c r="H292">
        <v>312</v>
      </c>
      <c r="I292">
        <v>1560</v>
      </c>
      <c r="J292">
        <v>860.96</v>
      </c>
      <c r="K292">
        <v>699.04</v>
      </c>
      <c r="L292" t="s">
        <v>25</v>
      </c>
      <c r="M292" t="s">
        <v>19</v>
      </c>
      <c r="N292" t="str">
        <f>TEXT(SalesData[[#This Row],[Order Date]],"MMM-YYYY")</f>
        <v>Aug-2024</v>
      </c>
      <c r="O292" s="2">
        <f>SalesData[[#This Row],[Profit]]/SalesData[[#This Row],[Sales]]</f>
        <v>0.4481025641025641</v>
      </c>
    </row>
    <row r="293" spans="1:15" x14ac:dyDescent="0.25">
      <c r="A293" t="s">
        <v>330</v>
      </c>
      <c r="B293" s="1">
        <v>45327</v>
      </c>
      <c r="C293" t="s">
        <v>21</v>
      </c>
      <c r="D293" t="s">
        <v>28</v>
      </c>
      <c r="E293" t="s">
        <v>16</v>
      </c>
      <c r="F293" t="s">
        <v>29</v>
      </c>
      <c r="G293">
        <v>8</v>
      </c>
      <c r="H293">
        <v>897</v>
      </c>
      <c r="I293">
        <v>7176</v>
      </c>
      <c r="J293">
        <v>4026.52</v>
      </c>
      <c r="K293">
        <v>3149.48</v>
      </c>
      <c r="L293" t="s">
        <v>25</v>
      </c>
      <c r="M293" t="s">
        <v>44</v>
      </c>
      <c r="N293" t="str">
        <f>TEXT(SalesData[[#This Row],[Order Date]],"MMM-YYYY")</f>
        <v>Feb-2024</v>
      </c>
      <c r="O293" s="2">
        <f>SalesData[[#This Row],[Profit]]/SalesData[[#This Row],[Sales]]</f>
        <v>0.4388907469342252</v>
      </c>
    </row>
    <row r="294" spans="1:15" x14ac:dyDescent="0.25">
      <c r="A294" t="s">
        <v>331</v>
      </c>
      <c r="B294" s="1">
        <v>45504</v>
      </c>
      <c r="C294" t="s">
        <v>14</v>
      </c>
      <c r="D294" t="s">
        <v>22</v>
      </c>
      <c r="E294" t="s">
        <v>16</v>
      </c>
      <c r="F294" t="s">
        <v>64</v>
      </c>
      <c r="G294">
        <v>6</v>
      </c>
      <c r="H294">
        <v>471</v>
      </c>
      <c r="I294">
        <v>2826</v>
      </c>
      <c r="J294">
        <v>1928.91</v>
      </c>
      <c r="K294">
        <v>897.09</v>
      </c>
      <c r="L294" t="s">
        <v>25</v>
      </c>
      <c r="M294" t="s">
        <v>19</v>
      </c>
      <c r="N294" t="str">
        <f>TEXT(SalesData[[#This Row],[Order Date]],"MMM-YYYY")</f>
        <v>Jul-2024</v>
      </c>
      <c r="O294" s="2">
        <f>SalesData[[#This Row],[Profit]]/SalesData[[#This Row],[Sales]]</f>
        <v>0.31744161358811041</v>
      </c>
    </row>
    <row r="295" spans="1:15" x14ac:dyDescent="0.25">
      <c r="A295" t="s">
        <v>332</v>
      </c>
      <c r="B295" s="1">
        <v>45497</v>
      </c>
      <c r="C295" t="s">
        <v>41</v>
      </c>
      <c r="D295" t="s">
        <v>28</v>
      </c>
      <c r="E295" t="s">
        <v>16</v>
      </c>
      <c r="F295" t="s">
        <v>17</v>
      </c>
      <c r="G295">
        <v>4</v>
      </c>
      <c r="H295">
        <v>887</v>
      </c>
      <c r="I295">
        <v>3548</v>
      </c>
      <c r="J295">
        <v>2174.79</v>
      </c>
      <c r="K295">
        <v>1373.21</v>
      </c>
      <c r="L295" t="s">
        <v>18</v>
      </c>
      <c r="M295" t="s">
        <v>26</v>
      </c>
      <c r="N295" t="str">
        <f>TEXT(SalesData[[#This Row],[Order Date]],"MMM-YYYY")</f>
        <v>Jul-2024</v>
      </c>
      <c r="O295" s="2">
        <f>SalesData[[#This Row],[Profit]]/SalesData[[#This Row],[Sales]]</f>
        <v>0.38703776775648252</v>
      </c>
    </row>
    <row r="296" spans="1:15" x14ac:dyDescent="0.25">
      <c r="A296" t="s">
        <v>333</v>
      </c>
      <c r="B296" s="1">
        <v>45473</v>
      </c>
      <c r="C296" t="s">
        <v>38</v>
      </c>
      <c r="D296" t="s">
        <v>28</v>
      </c>
      <c r="E296" t="s">
        <v>16</v>
      </c>
      <c r="F296" t="s">
        <v>29</v>
      </c>
      <c r="G296">
        <v>3</v>
      </c>
      <c r="H296">
        <v>586</v>
      </c>
      <c r="I296">
        <v>1758</v>
      </c>
      <c r="J296">
        <v>1317.63</v>
      </c>
      <c r="K296">
        <v>440.37</v>
      </c>
      <c r="L296" t="s">
        <v>18</v>
      </c>
      <c r="M296" t="s">
        <v>19</v>
      </c>
      <c r="N296" t="str">
        <f>TEXT(SalesData[[#This Row],[Order Date]],"MMM-YYYY")</f>
        <v>Jun-2024</v>
      </c>
      <c r="O296" s="2">
        <f>SalesData[[#This Row],[Profit]]/SalesData[[#This Row],[Sales]]</f>
        <v>0.2504948805460751</v>
      </c>
    </row>
    <row r="297" spans="1:15" x14ac:dyDescent="0.25">
      <c r="A297" t="s">
        <v>334</v>
      </c>
      <c r="B297" s="1">
        <v>45311</v>
      </c>
      <c r="C297" t="s">
        <v>38</v>
      </c>
      <c r="D297" t="s">
        <v>22</v>
      </c>
      <c r="E297" t="s">
        <v>16</v>
      </c>
      <c r="F297" t="s">
        <v>29</v>
      </c>
      <c r="G297">
        <v>6</v>
      </c>
      <c r="H297">
        <v>726</v>
      </c>
      <c r="I297">
        <v>4356</v>
      </c>
      <c r="J297">
        <v>2700.77</v>
      </c>
      <c r="K297">
        <v>1655.23</v>
      </c>
      <c r="L297" t="s">
        <v>18</v>
      </c>
      <c r="M297" t="s">
        <v>19</v>
      </c>
      <c r="N297" t="str">
        <f>TEXT(SalesData[[#This Row],[Order Date]],"MMM-YYYY")</f>
        <v>Jan-2024</v>
      </c>
      <c r="O297" s="2">
        <f>SalesData[[#This Row],[Profit]]/SalesData[[#This Row],[Sales]]</f>
        <v>0.37998852157943069</v>
      </c>
    </row>
    <row r="298" spans="1:15" x14ac:dyDescent="0.25">
      <c r="A298" t="s">
        <v>335</v>
      </c>
      <c r="B298" s="1">
        <v>45309</v>
      </c>
      <c r="C298" t="s">
        <v>38</v>
      </c>
      <c r="D298" t="s">
        <v>15</v>
      </c>
      <c r="E298" t="s">
        <v>34</v>
      </c>
      <c r="F298" t="s">
        <v>47</v>
      </c>
      <c r="G298">
        <v>5</v>
      </c>
      <c r="H298">
        <v>130</v>
      </c>
      <c r="I298">
        <v>650</v>
      </c>
      <c r="J298">
        <v>501.32</v>
      </c>
      <c r="K298">
        <v>148.68</v>
      </c>
      <c r="L298" t="s">
        <v>18</v>
      </c>
      <c r="M298" t="s">
        <v>26</v>
      </c>
      <c r="N298" t="str">
        <f>TEXT(SalesData[[#This Row],[Order Date]],"MMM-YYYY")</f>
        <v>Jan-2024</v>
      </c>
      <c r="O298" s="2">
        <f>SalesData[[#This Row],[Profit]]/SalesData[[#This Row],[Sales]]</f>
        <v>0.22873846153846156</v>
      </c>
    </row>
    <row r="299" spans="1:15" x14ac:dyDescent="0.25">
      <c r="A299" t="s">
        <v>336</v>
      </c>
      <c r="B299" s="1">
        <v>45547</v>
      </c>
      <c r="C299" t="s">
        <v>14</v>
      </c>
      <c r="D299" t="s">
        <v>28</v>
      </c>
      <c r="E299" t="s">
        <v>23</v>
      </c>
      <c r="F299" t="s">
        <v>39</v>
      </c>
      <c r="G299">
        <v>6</v>
      </c>
      <c r="H299">
        <v>515</v>
      </c>
      <c r="I299">
        <v>3090</v>
      </c>
      <c r="J299">
        <v>2233.16</v>
      </c>
      <c r="K299">
        <v>856.84</v>
      </c>
      <c r="L299" t="s">
        <v>18</v>
      </c>
      <c r="M299" t="s">
        <v>30</v>
      </c>
      <c r="N299" t="str">
        <f>TEXT(SalesData[[#This Row],[Order Date]],"MMM-YYYY")</f>
        <v>Sep-2024</v>
      </c>
      <c r="O299" s="2">
        <f>SalesData[[#This Row],[Profit]]/SalesData[[#This Row],[Sales]]</f>
        <v>0.27729449838187703</v>
      </c>
    </row>
    <row r="300" spans="1:15" x14ac:dyDescent="0.25">
      <c r="A300" t="s">
        <v>337</v>
      </c>
      <c r="B300" s="1">
        <v>45331</v>
      </c>
      <c r="C300" t="s">
        <v>14</v>
      </c>
      <c r="D300" t="s">
        <v>28</v>
      </c>
      <c r="E300" t="s">
        <v>23</v>
      </c>
      <c r="F300" t="s">
        <v>39</v>
      </c>
      <c r="G300">
        <v>7</v>
      </c>
      <c r="H300">
        <v>697</v>
      </c>
      <c r="I300">
        <v>4879</v>
      </c>
      <c r="J300">
        <v>2640.52</v>
      </c>
      <c r="K300">
        <v>2238.48</v>
      </c>
      <c r="L300" t="s">
        <v>18</v>
      </c>
      <c r="M300" t="s">
        <v>19</v>
      </c>
      <c r="N300" t="str">
        <f>TEXT(SalesData[[#This Row],[Order Date]],"MMM-YYYY")</f>
        <v>Feb-2024</v>
      </c>
      <c r="O300" s="2">
        <f>SalesData[[#This Row],[Profit]]/SalesData[[#This Row],[Sales]]</f>
        <v>0.45879893420782947</v>
      </c>
    </row>
    <row r="301" spans="1:15" x14ac:dyDescent="0.25">
      <c r="A301" t="s">
        <v>338</v>
      </c>
      <c r="B301" s="1">
        <v>45558</v>
      </c>
      <c r="C301" t="s">
        <v>38</v>
      </c>
      <c r="D301" t="s">
        <v>15</v>
      </c>
      <c r="E301" t="s">
        <v>16</v>
      </c>
      <c r="F301" t="s">
        <v>17</v>
      </c>
      <c r="G301">
        <v>4</v>
      </c>
      <c r="H301">
        <v>830</v>
      </c>
      <c r="I301">
        <v>3320</v>
      </c>
      <c r="J301">
        <v>2020.12</v>
      </c>
      <c r="K301">
        <v>1299.8800000000001</v>
      </c>
      <c r="L301" t="s">
        <v>25</v>
      </c>
      <c r="M301" t="s">
        <v>44</v>
      </c>
      <c r="N301" t="str">
        <f>TEXT(SalesData[[#This Row],[Order Date]],"MMM-YYYY")</f>
        <v>Sep-2024</v>
      </c>
      <c r="O301" s="2">
        <f>SalesData[[#This Row],[Profit]]/SalesData[[#This Row],[Sales]]</f>
        <v>0.39153012048192776</v>
      </c>
    </row>
    <row r="302" spans="1:15" x14ac:dyDescent="0.25">
      <c r="A302" t="s">
        <v>339</v>
      </c>
      <c r="B302" s="1">
        <v>45392</v>
      </c>
      <c r="C302" t="s">
        <v>38</v>
      </c>
      <c r="D302" t="s">
        <v>15</v>
      </c>
      <c r="E302" t="s">
        <v>34</v>
      </c>
      <c r="F302" t="s">
        <v>35</v>
      </c>
      <c r="G302">
        <v>6</v>
      </c>
      <c r="H302">
        <v>945</v>
      </c>
      <c r="I302">
        <v>5670</v>
      </c>
      <c r="J302">
        <v>3679.92</v>
      </c>
      <c r="K302">
        <v>1990.08</v>
      </c>
      <c r="L302" t="s">
        <v>25</v>
      </c>
      <c r="M302" t="s">
        <v>26</v>
      </c>
      <c r="N302" t="str">
        <f>TEXT(SalesData[[#This Row],[Order Date]],"MMM-YYYY")</f>
        <v>Apr-2024</v>
      </c>
      <c r="O302" s="2">
        <f>SalesData[[#This Row],[Profit]]/SalesData[[#This Row],[Sales]]</f>
        <v>0.35098412698412695</v>
      </c>
    </row>
    <row r="303" spans="1:15" x14ac:dyDescent="0.25">
      <c r="A303" t="s">
        <v>340</v>
      </c>
      <c r="B303" s="1">
        <v>45556</v>
      </c>
      <c r="C303" t="s">
        <v>38</v>
      </c>
      <c r="D303" t="s">
        <v>42</v>
      </c>
      <c r="E303" t="s">
        <v>23</v>
      </c>
      <c r="F303" t="s">
        <v>43</v>
      </c>
      <c r="G303">
        <v>1</v>
      </c>
      <c r="H303">
        <v>984</v>
      </c>
      <c r="I303">
        <v>984</v>
      </c>
      <c r="J303">
        <v>603.89</v>
      </c>
      <c r="K303">
        <v>380.11</v>
      </c>
      <c r="L303" t="s">
        <v>18</v>
      </c>
      <c r="M303" t="s">
        <v>30</v>
      </c>
      <c r="N303" t="str">
        <f>TEXT(SalesData[[#This Row],[Order Date]],"MMM-YYYY")</f>
        <v>Sep-2024</v>
      </c>
      <c r="O303" s="2">
        <f>SalesData[[#This Row],[Profit]]/SalesData[[#This Row],[Sales]]</f>
        <v>0.38629065040650407</v>
      </c>
    </row>
    <row r="304" spans="1:15" x14ac:dyDescent="0.25">
      <c r="A304" t="s">
        <v>341</v>
      </c>
      <c r="B304" s="1">
        <v>45301</v>
      </c>
      <c r="C304" t="s">
        <v>38</v>
      </c>
      <c r="D304" t="s">
        <v>22</v>
      </c>
      <c r="E304" t="s">
        <v>16</v>
      </c>
      <c r="F304" t="s">
        <v>29</v>
      </c>
      <c r="G304">
        <v>3</v>
      </c>
      <c r="H304">
        <v>941</v>
      </c>
      <c r="I304">
        <v>2823</v>
      </c>
      <c r="J304">
        <v>1957.58</v>
      </c>
      <c r="K304">
        <v>865.42</v>
      </c>
      <c r="L304" t="s">
        <v>25</v>
      </c>
      <c r="M304" t="s">
        <v>44</v>
      </c>
      <c r="N304" t="str">
        <f>TEXT(SalesData[[#This Row],[Order Date]],"MMM-YYYY")</f>
        <v>Jan-2024</v>
      </c>
      <c r="O304" s="2">
        <f>SalesData[[#This Row],[Profit]]/SalesData[[#This Row],[Sales]]</f>
        <v>0.30656039674105562</v>
      </c>
    </row>
    <row r="305" spans="1:15" x14ac:dyDescent="0.25">
      <c r="A305" t="s">
        <v>342</v>
      </c>
      <c r="B305" s="1">
        <v>45420</v>
      </c>
      <c r="C305" t="s">
        <v>38</v>
      </c>
      <c r="D305" t="s">
        <v>28</v>
      </c>
      <c r="E305" t="s">
        <v>34</v>
      </c>
      <c r="F305" t="s">
        <v>53</v>
      </c>
      <c r="G305">
        <v>8</v>
      </c>
      <c r="H305">
        <v>342</v>
      </c>
      <c r="I305">
        <v>2736</v>
      </c>
      <c r="J305">
        <v>1783.9</v>
      </c>
      <c r="K305">
        <v>952.1</v>
      </c>
      <c r="L305" t="s">
        <v>18</v>
      </c>
      <c r="M305" t="s">
        <v>44</v>
      </c>
      <c r="N305" t="str">
        <f>TEXT(SalesData[[#This Row],[Order Date]],"MMM-YYYY")</f>
        <v>May-2024</v>
      </c>
      <c r="O305" s="2">
        <f>SalesData[[#This Row],[Profit]]/SalesData[[#This Row],[Sales]]</f>
        <v>0.34798976608187138</v>
      </c>
    </row>
    <row r="306" spans="1:15" x14ac:dyDescent="0.25">
      <c r="A306" t="s">
        <v>343</v>
      </c>
      <c r="B306" s="1">
        <v>45421</v>
      </c>
      <c r="C306" t="s">
        <v>21</v>
      </c>
      <c r="D306" t="s">
        <v>42</v>
      </c>
      <c r="E306" t="s">
        <v>23</v>
      </c>
      <c r="F306" t="s">
        <v>43</v>
      </c>
      <c r="G306">
        <v>10</v>
      </c>
      <c r="H306">
        <v>599</v>
      </c>
      <c r="I306">
        <v>5990</v>
      </c>
      <c r="J306">
        <v>3703.64</v>
      </c>
      <c r="K306">
        <v>2286.36</v>
      </c>
      <c r="L306" t="s">
        <v>25</v>
      </c>
      <c r="M306" t="s">
        <v>19</v>
      </c>
      <c r="N306" t="str">
        <f>TEXT(SalesData[[#This Row],[Order Date]],"MMM-YYYY")</f>
        <v>May-2024</v>
      </c>
      <c r="O306" s="2">
        <f>SalesData[[#This Row],[Profit]]/SalesData[[#This Row],[Sales]]</f>
        <v>0.38169616026711189</v>
      </c>
    </row>
    <row r="307" spans="1:15" x14ac:dyDescent="0.25">
      <c r="A307" t="s">
        <v>344</v>
      </c>
      <c r="B307" s="1">
        <v>45324</v>
      </c>
      <c r="C307" t="s">
        <v>38</v>
      </c>
      <c r="D307" t="s">
        <v>28</v>
      </c>
      <c r="E307" t="s">
        <v>34</v>
      </c>
      <c r="F307" t="s">
        <v>47</v>
      </c>
      <c r="G307">
        <v>4</v>
      </c>
      <c r="H307">
        <v>404</v>
      </c>
      <c r="I307">
        <v>1616</v>
      </c>
      <c r="J307">
        <v>969.96</v>
      </c>
      <c r="K307">
        <v>646.04</v>
      </c>
      <c r="L307" t="s">
        <v>18</v>
      </c>
      <c r="M307" t="s">
        <v>30</v>
      </c>
      <c r="N307" t="str">
        <f>TEXT(SalesData[[#This Row],[Order Date]],"MMM-YYYY")</f>
        <v>Feb-2024</v>
      </c>
      <c r="O307" s="2">
        <f>SalesData[[#This Row],[Profit]]/SalesData[[#This Row],[Sales]]</f>
        <v>0.39977722772277224</v>
      </c>
    </row>
    <row r="308" spans="1:15" x14ac:dyDescent="0.25">
      <c r="A308" t="s">
        <v>345</v>
      </c>
      <c r="B308" s="1">
        <v>45510</v>
      </c>
      <c r="C308" t="s">
        <v>21</v>
      </c>
      <c r="D308" t="s">
        <v>42</v>
      </c>
      <c r="E308" t="s">
        <v>23</v>
      </c>
      <c r="F308" t="s">
        <v>43</v>
      </c>
      <c r="G308">
        <v>4</v>
      </c>
      <c r="H308">
        <v>193</v>
      </c>
      <c r="I308">
        <v>772</v>
      </c>
      <c r="J308">
        <v>530.41</v>
      </c>
      <c r="K308">
        <v>241.59</v>
      </c>
      <c r="L308" t="s">
        <v>25</v>
      </c>
      <c r="M308" t="s">
        <v>19</v>
      </c>
      <c r="N308" t="str">
        <f>TEXT(SalesData[[#This Row],[Order Date]],"MMM-YYYY")</f>
        <v>Aug-2024</v>
      </c>
      <c r="O308" s="2">
        <f>SalesData[[#This Row],[Profit]]/SalesData[[#This Row],[Sales]]</f>
        <v>0.31294041450777205</v>
      </c>
    </row>
    <row r="309" spans="1:15" x14ac:dyDescent="0.25">
      <c r="A309" t="s">
        <v>346</v>
      </c>
      <c r="B309" s="1">
        <v>45325</v>
      </c>
      <c r="C309" t="s">
        <v>38</v>
      </c>
      <c r="D309" t="s">
        <v>22</v>
      </c>
      <c r="E309" t="s">
        <v>23</v>
      </c>
      <c r="F309" t="s">
        <v>39</v>
      </c>
      <c r="G309">
        <v>8</v>
      </c>
      <c r="H309">
        <v>901</v>
      </c>
      <c r="I309">
        <v>7208</v>
      </c>
      <c r="J309">
        <v>5610.11</v>
      </c>
      <c r="K309">
        <v>1597.89</v>
      </c>
      <c r="L309" t="s">
        <v>18</v>
      </c>
      <c r="M309" t="s">
        <v>44</v>
      </c>
      <c r="N309" t="str">
        <f>TEXT(SalesData[[#This Row],[Order Date]],"MMM-YYYY")</f>
        <v>Feb-2024</v>
      </c>
      <c r="O309" s="2">
        <f>SalesData[[#This Row],[Profit]]/SalesData[[#This Row],[Sales]]</f>
        <v>0.22168285238623753</v>
      </c>
    </row>
    <row r="310" spans="1:15" x14ac:dyDescent="0.25">
      <c r="A310" t="s">
        <v>347</v>
      </c>
      <c r="B310" s="1">
        <v>45582</v>
      </c>
      <c r="C310" t="s">
        <v>21</v>
      </c>
      <c r="D310" t="s">
        <v>15</v>
      </c>
      <c r="E310" t="s">
        <v>34</v>
      </c>
      <c r="F310" t="s">
        <v>47</v>
      </c>
      <c r="G310">
        <v>7</v>
      </c>
      <c r="H310">
        <v>366</v>
      </c>
      <c r="I310">
        <v>2562</v>
      </c>
      <c r="J310">
        <v>1450.75</v>
      </c>
      <c r="K310">
        <v>1111.25</v>
      </c>
      <c r="L310" t="s">
        <v>18</v>
      </c>
      <c r="M310" t="s">
        <v>44</v>
      </c>
      <c r="N310" t="str">
        <f>TEXT(SalesData[[#This Row],[Order Date]],"MMM-YYYY")</f>
        <v>Oct-2024</v>
      </c>
      <c r="O310" s="2">
        <f>SalesData[[#This Row],[Profit]]/SalesData[[#This Row],[Sales]]</f>
        <v>0.43374316939890711</v>
      </c>
    </row>
    <row r="311" spans="1:15" x14ac:dyDescent="0.25">
      <c r="A311" t="s">
        <v>348</v>
      </c>
      <c r="B311" s="1">
        <v>45513</v>
      </c>
      <c r="C311" t="s">
        <v>38</v>
      </c>
      <c r="D311" t="s">
        <v>15</v>
      </c>
      <c r="E311" t="s">
        <v>16</v>
      </c>
      <c r="F311" t="s">
        <v>17</v>
      </c>
      <c r="G311">
        <v>1</v>
      </c>
      <c r="H311">
        <v>324</v>
      </c>
      <c r="I311">
        <v>324</v>
      </c>
      <c r="J311">
        <v>172.82</v>
      </c>
      <c r="K311">
        <v>151.18</v>
      </c>
      <c r="L311" t="s">
        <v>18</v>
      </c>
      <c r="M311" t="s">
        <v>19</v>
      </c>
      <c r="N311" t="str">
        <f>TEXT(SalesData[[#This Row],[Order Date]],"MMM-YYYY")</f>
        <v>Aug-2024</v>
      </c>
      <c r="O311" s="2">
        <f>SalesData[[#This Row],[Profit]]/SalesData[[#This Row],[Sales]]</f>
        <v>0.46660493827160499</v>
      </c>
    </row>
    <row r="312" spans="1:15" x14ac:dyDescent="0.25">
      <c r="A312" t="s">
        <v>349</v>
      </c>
      <c r="B312" s="1">
        <v>45361</v>
      </c>
      <c r="C312" t="s">
        <v>38</v>
      </c>
      <c r="D312" t="s">
        <v>42</v>
      </c>
      <c r="E312" t="s">
        <v>16</v>
      </c>
      <c r="F312" t="s">
        <v>17</v>
      </c>
      <c r="G312">
        <v>8</v>
      </c>
      <c r="H312">
        <v>768</v>
      </c>
      <c r="I312">
        <v>6144</v>
      </c>
      <c r="J312">
        <v>3735.35</v>
      </c>
      <c r="K312">
        <v>2408.65</v>
      </c>
      <c r="L312" t="s">
        <v>25</v>
      </c>
      <c r="M312" t="s">
        <v>19</v>
      </c>
      <c r="N312" t="str">
        <f>TEXT(SalesData[[#This Row],[Order Date]],"MMM-YYYY")</f>
        <v>Mar-2024</v>
      </c>
      <c r="O312" s="2">
        <f>SalesData[[#This Row],[Profit]]/SalesData[[#This Row],[Sales]]</f>
        <v>0.39203287760416666</v>
      </c>
    </row>
    <row r="313" spans="1:15" x14ac:dyDescent="0.25">
      <c r="A313" t="s">
        <v>350</v>
      </c>
      <c r="B313" s="1">
        <v>45586</v>
      </c>
      <c r="C313" t="s">
        <v>21</v>
      </c>
      <c r="D313" t="s">
        <v>42</v>
      </c>
      <c r="E313" t="s">
        <v>23</v>
      </c>
      <c r="F313" t="s">
        <v>24</v>
      </c>
      <c r="G313">
        <v>6</v>
      </c>
      <c r="H313">
        <v>777</v>
      </c>
      <c r="I313">
        <v>4662</v>
      </c>
      <c r="J313">
        <v>3457.24</v>
      </c>
      <c r="K313">
        <v>1204.76</v>
      </c>
      <c r="L313" t="s">
        <v>25</v>
      </c>
      <c r="M313" t="s">
        <v>19</v>
      </c>
      <c r="N313" t="str">
        <f>TEXT(SalesData[[#This Row],[Order Date]],"MMM-YYYY")</f>
        <v>Oct-2024</v>
      </c>
      <c r="O313" s="2">
        <f>SalesData[[#This Row],[Profit]]/SalesData[[#This Row],[Sales]]</f>
        <v>0.25842127842127843</v>
      </c>
    </row>
    <row r="314" spans="1:15" x14ac:dyDescent="0.25">
      <c r="A314" t="s">
        <v>351</v>
      </c>
      <c r="B314" s="1">
        <v>45444</v>
      </c>
      <c r="C314" t="s">
        <v>21</v>
      </c>
      <c r="D314" t="s">
        <v>28</v>
      </c>
      <c r="E314" t="s">
        <v>34</v>
      </c>
      <c r="F314" t="s">
        <v>53</v>
      </c>
      <c r="G314">
        <v>3</v>
      </c>
      <c r="H314">
        <v>419</v>
      </c>
      <c r="I314">
        <v>1257</v>
      </c>
      <c r="J314">
        <v>805.19</v>
      </c>
      <c r="K314">
        <v>451.81</v>
      </c>
      <c r="L314" t="s">
        <v>18</v>
      </c>
      <c r="M314" t="s">
        <v>44</v>
      </c>
      <c r="N314" t="str">
        <f>TEXT(SalesData[[#This Row],[Order Date]],"MMM-YYYY")</f>
        <v>Jun-2024</v>
      </c>
      <c r="O314" s="2">
        <f>SalesData[[#This Row],[Profit]]/SalesData[[#This Row],[Sales]]</f>
        <v>0.35943516308671442</v>
      </c>
    </row>
    <row r="315" spans="1:15" x14ac:dyDescent="0.25">
      <c r="A315" t="s">
        <v>352</v>
      </c>
      <c r="B315" s="1">
        <v>45341</v>
      </c>
      <c r="C315" t="s">
        <v>41</v>
      </c>
      <c r="D315" t="s">
        <v>42</v>
      </c>
      <c r="E315" t="s">
        <v>23</v>
      </c>
      <c r="F315" t="s">
        <v>43</v>
      </c>
      <c r="G315">
        <v>6</v>
      </c>
      <c r="H315">
        <v>472</v>
      </c>
      <c r="I315">
        <v>2832</v>
      </c>
      <c r="J315">
        <v>1896</v>
      </c>
      <c r="K315">
        <v>936</v>
      </c>
      <c r="L315" t="s">
        <v>25</v>
      </c>
      <c r="M315" t="s">
        <v>26</v>
      </c>
      <c r="N315" t="str">
        <f>TEXT(SalesData[[#This Row],[Order Date]],"MMM-YYYY")</f>
        <v>Feb-2024</v>
      </c>
      <c r="O315" s="2">
        <f>SalesData[[#This Row],[Profit]]/SalesData[[#This Row],[Sales]]</f>
        <v>0.33050847457627119</v>
      </c>
    </row>
    <row r="316" spans="1:15" x14ac:dyDescent="0.25">
      <c r="A316" t="s">
        <v>353</v>
      </c>
      <c r="B316" s="1">
        <v>45351</v>
      </c>
      <c r="C316" t="s">
        <v>38</v>
      </c>
      <c r="D316" t="s">
        <v>15</v>
      </c>
      <c r="E316" t="s">
        <v>16</v>
      </c>
      <c r="F316" t="s">
        <v>64</v>
      </c>
      <c r="G316">
        <v>3</v>
      </c>
      <c r="H316">
        <v>592</v>
      </c>
      <c r="I316">
        <v>1776</v>
      </c>
      <c r="J316">
        <v>1080.01</v>
      </c>
      <c r="K316">
        <v>695.99</v>
      </c>
      <c r="L316" t="s">
        <v>25</v>
      </c>
      <c r="M316" t="s">
        <v>19</v>
      </c>
      <c r="N316" t="str">
        <f>TEXT(SalesData[[#This Row],[Order Date]],"MMM-YYYY")</f>
        <v>Feb-2024</v>
      </c>
      <c r="O316" s="2">
        <f>SalesData[[#This Row],[Profit]]/SalesData[[#This Row],[Sales]]</f>
        <v>0.39188626126126125</v>
      </c>
    </row>
    <row r="317" spans="1:15" x14ac:dyDescent="0.25">
      <c r="A317" t="s">
        <v>354</v>
      </c>
      <c r="B317" s="1">
        <v>45425</v>
      </c>
      <c r="C317" t="s">
        <v>41</v>
      </c>
      <c r="D317" t="s">
        <v>15</v>
      </c>
      <c r="E317" t="s">
        <v>23</v>
      </c>
      <c r="F317" t="s">
        <v>24</v>
      </c>
      <c r="G317">
        <v>9</v>
      </c>
      <c r="H317">
        <v>559</v>
      </c>
      <c r="I317">
        <v>5031</v>
      </c>
      <c r="J317">
        <v>2751.06</v>
      </c>
      <c r="K317">
        <v>2279.94</v>
      </c>
      <c r="L317" t="s">
        <v>25</v>
      </c>
      <c r="M317" t="s">
        <v>30</v>
      </c>
      <c r="N317" t="str">
        <f>TEXT(SalesData[[#This Row],[Order Date]],"MMM-YYYY")</f>
        <v>May-2024</v>
      </c>
      <c r="O317" s="2">
        <f>SalesData[[#This Row],[Profit]]/SalesData[[#This Row],[Sales]]</f>
        <v>0.45317829457364345</v>
      </c>
    </row>
    <row r="318" spans="1:15" x14ac:dyDescent="0.25">
      <c r="A318" t="s">
        <v>355</v>
      </c>
      <c r="B318" s="1">
        <v>45345</v>
      </c>
      <c r="C318" t="s">
        <v>41</v>
      </c>
      <c r="D318" t="s">
        <v>22</v>
      </c>
      <c r="E318" t="s">
        <v>23</v>
      </c>
      <c r="F318" t="s">
        <v>43</v>
      </c>
      <c r="G318">
        <v>6</v>
      </c>
      <c r="H318">
        <v>267</v>
      </c>
      <c r="I318">
        <v>1602</v>
      </c>
      <c r="J318">
        <v>1207.6400000000001</v>
      </c>
      <c r="K318">
        <v>394.36</v>
      </c>
      <c r="L318" t="s">
        <v>25</v>
      </c>
      <c r="M318" t="s">
        <v>19</v>
      </c>
      <c r="N318" t="str">
        <f>TEXT(SalesData[[#This Row],[Order Date]],"MMM-YYYY")</f>
        <v>Feb-2024</v>
      </c>
      <c r="O318" s="2">
        <f>SalesData[[#This Row],[Profit]]/SalesData[[#This Row],[Sales]]</f>
        <v>0.24616729088639203</v>
      </c>
    </row>
    <row r="319" spans="1:15" x14ac:dyDescent="0.25">
      <c r="A319" t="s">
        <v>356</v>
      </c>
      <c r="B319" s="1">
        <v>45530</v>
      </c>
      <c r="C319" t="s">
        <v>21</v>
      </c>
      <c r="D319" t="s">
        <v>42</v>
      </c>
      <c r="E319" t="s">
        <v>23</v>
      </c>
      <c r="F319" t="s">
        <v>39</v>
      </c>
      <c r="G319">
        <v>4</v>
      </c>
      <c r="H319">
        <v>952</v>
      </c>
      <c r="I319">
        <v>3808</v>
      </c>
      <c r="J319">
        <v>1923.09</v>
      </c>
      <c r="K319">
        <v>1884.91</v>
      </c>
      <c r="L319" t="s">
        <v>18</v>
      </c>
      <c r="M319" t="s">
        <v>26</v>
      </c>
      <c r="N319" t="str">
        <f>TEXT(SalesData[[#This Row],[Order Date]],"MMM-YYYY")</f>
        <v>Aug-2024</v>
      </c>
      <c r="O319" s="2">
        <f>SalesData[[#This Row],[Profit]]/SalesData[[#This Row],[Sales]]</f>
        <v>0.49498686974789918</v>
      </c>
    </row>
    <row r="320" spans="1:15" x14ac:dyDescent="0.25">
      <c r="A320" t="s">
        <v>357</v>
      </c>
      <c r="B320" s="1">
        <v>45468</v>
      </c>
      <c r="C320" t="s">
        <v>38</v>
      </c>
      <c r="D320" t="s">
        <v>28</v>
      </c>
      <c r="E320" t="s">
        <v>34</v>
      </c>
      <c r="F320" t="s">
        <v>47</v>
      </c>
      <c r="G320">
        <v>2</v>
      </c>
      <c r="H320">
        <v>132</v>
      </c>
      <c r="I320">
        <v>264</v>
      </c>
      <c r="J320">
        <v>170.69</v>
      </c>
      <c r="K320">
        <v>93.31</v>
      </c>
      <c r="L320" t="s">
        <v>18</v>
      </c>
      <c r="M320" t="s">
        <v>26</v>
      </c>
      <c r="N320" t="str">
        <f>TEXT(SalesData[[#This Row],[Order Date]],"MMM-YYYY")</f>
        <v>Jun-2024</v>
      </c>
      <c r="O320" s="2">
        <f>SalesData[[#This Row],[Profit]]/SalesData[[#This Row],[Sales]]</f>
        <v>0.3534469696969697</v>
      </c>
    </row>
    <row r="321" spans="1:15" x14ac:dyDescent="0.25">
      <c r="A321" t="s">
        <v>358</v>
      </c>
      <c r="B321" s="1">
        <v>45348</v>
      </c>
      <c r="C321" t="s">
        <v>21</v>
      </c>
      <c r="D321" t="s">
        <v>15</v>
      </c>
      <c r="E321" t="s">
        <v>16</v>
      </c>
      <c r="F321" t="s">
        <v>29</v>
      </c>
      <c r="G321">
        <v>5</v>
      </c>
      <c r="H321">
        <v>279</v>
      </c>
      <c r="I321">
        <v>1395</v>
      </c>
      <c r="J321">
        <v>1099.3699999999999</v>
      </c>
      <c r="K321">
        <v>295.63</v>
      </c>
      <c r="L321" t="s">
        <v>18</v>
      </c>
      <c r="M321" t="s">
        <v>26</v>
      </c>
      <c r="N321" t="str">
        <f>TEXT(SalesData[[#This Row],[Order Date]],"MMM-YYYY")</f>
        <v>Feb-2024</v>
      </c>
      <c r="O321" s="2">
        <f>SalesData[[#This Row],[Profit]]/SalesData[[#This Row],[Sales]]</f>
        <v>0.21192114695340503</v>
      </c>
    </row>
    <row r="322" spans="1:15" x14ac:dyDescent="0.25">
      <c r="A322" t="s">
        <v>359</v>
      </c>
      <c r="B322" s="1">
        <v>45341</v>
      </c>
      <c r="C322" t="s">
        <v>14</v>
      </c>
      <c r="D322" t="s">
        <v>22</v>
      </c>
      <c r="E322" t="s">
        <v>23</v>
      </c>
      <c r="F322" t="s">
        <v>43</v>
      </c>
      <c r="G322">
        <v>10</v>
      </c>
      <c r="H322">
        <v>595</v>
      </c>
      <c r="I322">
        <v>5950</v>
      </c>
      <c r="J322">
        <v>3097.96</v>
      </c>
      <c r="K322">
        <v>2852.04</v>
      </c>
      <c r="L322" t="s">
        <v>25</v>
      </c>
      <c r="M322" t="s">
        <v>44</v>
      </c>
      <c r="N322" t="str">
        <f>TEXT(SalesData[[#This Row],[Order Date]],"MMM-YYYY")</f>
        <v>Feb-2024</v>
      </c>
      <c r="O322" s="2">
        <f>SalesData[[#This Row],[Profit]]/SalesData[[#This Row],[Sales]]</f>
        <v>0.47933445378151263</v>
      </c>
    </row>
    <row r="323" spans="1:15" x14ac:dyDescent="0.25">
      <c r="A323" t="s">
        <v>360</v>
      </c>
      <c r="B323" s="1">
        <v>45435</v>
      </c>
      <c r="C323" t="s">
        <v>14</v>
      </c>
      <c r="D323" t="s">
        <v>28</v>
      </c>
      <c r="E323" t="s">
        <v>23</v>
      </c>
      <c r="F323" t="s">
        <v>24</v>
      </c>
      <c r="G323">
        <v>1</v>
      </c>
      <c r="H323">
        <v>333</v>
      </c>
      <c r="I323">
        <v>333</v>
      </c>
      <c r="J323">
        <v>264.85000000000002</v>
      </c>
      <c r="K323">
        <v>68.150000000000006</v>
      </c>
      <c r="L323" t="s">
        <v>18</v>
      </c>
      <c r="M323" t="s">
        <v>26</v>
      </c>
      <c r="N323" t="str">
        <f>TEXT(SalesData[[#This Row],[Order Date]],"MMM-YYYY")</f>
        <v>May-2024</v>
      </c>
      <c r="O323" s="2">
        <f>SalesData[[#This Row],[Profit]]/SalesData[[#This Row],[Sales]]</f>
        <v>0.20465465465465468</v>
      </c>
    </row>
    <row r="324" spans="1:15" x14ac:dyDescent="0.25">
      <c r="A324" t="s">
        <v>361</v>
      </c>
      <c r="B324" s="1">
        <v>45495</v>
      </c>
      <c r="C324" t="s">
        <v>41</v>
      </c>
      <c r="D324" t="s">
        <v>42</v>
      </c>
      <c r="E324" t="s">
        <v>16</v>
      </c>
      <c r="F324" t="s">
        <v>17</v>
      </c>
      <c r="G324">
        <v>9</v>
      </c>
      <c r="H324">
        <v>156</v>
      </c>
      <c r="I324">
        <v>1404</v>
      </c>
      <c r="J324">
        <v>826.38</v>
      </c>
      <c r="K324">
        <v>577.62</v>
      </c>
      <c r="L324" t="s">
        <v>18</v>
      </c>
      <c r="M324" t="s">
        <v>26</v>
      </c>
      <c r="N324" t="str">
        <f>TEXT(SalesData[[#This Row],[Order Date]],"MMM-YYYY")</f>
        <v>Jul-2024</v>
      </c>
      <c r="O324" s="2">
        <f>SalesData[[#This Row],[Profit]]/SalesData[[#This Row],[Sales]]</f>
        <v>0.41141025641025641</v>
      </c>
    </row>
    <row r="325" spans="1:15" x14ac:dyDescent="0.25">
      <c r="A325" t="s">
        <v>362</v>
      </c>
      <c r="B325" s="1">
        <v>45536</v>
      </c>
      <c r="C325" t="s">
        <v>38</v>
      </c>
      <c r="D325" t="s">
        <v>28</v>
      </c>
      <c r="E325" t="s">
        <v>23</v>
      </c>
      <c r="F325" t="s">
        <v>39</v>
      </c>
      <c r="G325">
        <v>7</v>
      </c>
      <c r="H325">
        <v>497</v>
      </c>
      <c r="I325">
        <v>3479</v>
      </c>
      <c r="J325">
        <v>2767.19</v>
      </c>
      <c r="K325">
        <v>711.81</v>
      </c>
      <c r="L325" t="s">
        <v>18</v>
      </c>
      <c r="M325" t="s">
        <v>30</v>
      </c>
      <c r="N325" t="str">
        <f>TEXT(SalesData[[#This Row],[Order Date]],"MMM-YYYY")</f>
        <v>Sep-2024</v>
      </c>
      <c r="O325" s="2">
        <f>SalesData[[#This Row],[Profit]]/SalesData[[#This Row],[Sales]]</f>
        <v>0.20460189709686691</v>
      </c>
    </row>
    <row r="326" spans="1:15" x14ac:dyDescent="0.25">
      <c r="A326" t="s">
        <v>363</v>
      </c>
      <c r="B326" s="1">
        <v>45448</v>
      </c>
      <c r="C326" t="s">
        <v>41</v>
      </c>
      <c r="D326" t="s">
        <v>42</v>
      </c>
      <c r="E326" t="s">
        <v>23</v>
      </c>
      <c r="F326" t="s">
        <v>24</v>
      </c>
      <c r="G326">
        <v>2</v>
      </c>
      <c r="H326">
        <v>873</v>
      </c>
      <c r="I326">
        <v>1746</v>
      </c>
      <c r="J326">
        <v>888.18</v>
      </c>
      <c r="K326">
        <v>857.82</v>
      </c>
      <c r="L326" t="s">
        <v>25</v>
      </c>
      <c r="M326" t="s">
        <v>19</v>
      </c>
      <c r="N326" t="str">
        <f>TEXT(SalesData[[#This Row],[Order Date]],"MMM-YYYY")</f>
        <v>Jun-2024</v>
      </c>
      <c r="O326" s="2">
        <f>SalesData[[#This Row],[Profit]]/SalesData[[#This Row],[Sales]]</f>
        <v>0.49130584192439863</v>
      </c>
    </row>
    <row r="327" spans="1:15" x14ac:dyDescent="0.25">
      <c r="A327" t="s">
        <v>364</v>
      </c>
      <c r="B327" s="1">
        <v>45382</v>
      </c>
      <c r="C327" t="s">
        <v>41</v>
      </c>
      <c r="D327" t="s">
        <v>15</v>
      </c>
      <c r="E327" t="s">
        <v>23</v>
      </c>
      <c r="F327" t="s">
        <v>24</v>
      </c>
      <c r="G327">
        <v>5</v>
      </c>
      <c r="H327">
        <v>886</v>
      </c>
      <c r="I327">
        <v>4430</v>
      </c>
      <c r="J327">
        <v>2421.84</v>
      </c>
      <c r="K327">
        <v>2008.16</v>
      </c>
      <c r="L327" t="s">
        <v>25</v>
      </c>
      <c r="M327" t="s">
        <v>44</v>
      </c>
      <c r="N327" t="str">
        <f>TEXT(SalesData[[#This Row],[Order Date]],"MMM-YYYY")</f>
        <v>Mar-2024</v>
      </c>
      <c r="O327" s="2">
        <f>SalesData[[#This Row],[Profit]]/SalesData[[#This Row],[Sales]]</f>
        <v>0.45330925507900677</v>
      </c>
    </row>
    <row r="328" spans="1:15" x14ac:dyDescent="0.25">
      <c r="A328" t="s">
        <v>365</v>
      </c>
      <c r="B328" s="1">
        <v>45502</v>
      </c>
      <c r="C328" t="s">
        <v>38</v>
      </c>
      <c r="D328" t="s">
        <v>22</v>
      </c>
      <c r="E328" t="s">
        <v>16</v>
      </c>
      <c r="F328" t="s">
        <v>64</v>
      </c>
      <c r="G328">
        <v>7</v>
      </c>
      <c r="H328">
        <v>931</v>
      </c>
      <c r="I328">
        <v>6517</v>
      </c>
      <c r="J328">
        <v>4823.42</v>
      </c>
      <c r="K328">
        <v>1693.58</v>
      </c>
      <c r="L328" t="s">
        <v>25</v>
      </c>
      <c r="M328" t="s">
        <v>44</v>
      </c>
      <c r="N328" t="str">
        <f>TEXT(SalesData[[#This Row],[Order Date]],"MMM-YYYY")</f>
        <v>Jul-2024</v>
      </c>
      <c r="O328" s="2">
        <f>SalesData[[#This Row],[Profit]]/SalesData[[#This Row],[Sales]]</f>
        <v>0.25987110633727173</v>
      </c>
    </row>
    <row r="329" spans="1:15" x14ac:dyDescent="0.25">
      <c r="A329" t="s">
        <v>366</v>
      </c>
      <c r="B329" s="1">
        <v>45376</v>
      </c>
      <c r="C329" t="s">
        <v>14</v>
      </c>
      <c r="D329" t="s">
        <v>42</v>
      </c>
      <c r="E329" t="s">
        <v>34</v>
      </c>
      <c r="F329" t="s">
        <v>53</v>
      </c>
      <c r="G329">
        <v>1</v>
      </c>
      <c r="H329">
        <v>634</v>
      </c>
      <c r="I329">
        <v>634</v>
      </c>
      <c r="J329">
        <v>356.76</v>
      </c>
      <c r="K329">
        <v>277.24</v>
      </c>
      <c r="L329" t="s">
        <v>18</v>
      </c>
      <c r="M329" t="s">
        <v>44</v>
      </c>
      <c r="N329" t="str">
        <f>TEXT(SalesData[[#This Row],[Order Date]],"MMM-YYYY")</f>
        <v>Mar-2024</v>
      </c>
      <c r="O329" s="2">
        <f>SalesData[[#This Row],[Profit]]/SalesData[[#This Row],[Sales]]</f>
        <v>0.43728706624605679</v>
      </c>
    </row>
    <row r="330" spans="1:15" x14ac:dyDescent="0.25">
      <c r="A330" t="s">
        <v>367</v>
      </c>
      <c r="B330" s="1">
        <v>45403</v>
      </c>
      <c r="C330" t="s">
        <v>14</v>
      </c>
      <c r="D330" t="s">
        <v>42</v>
      </c>
      <c r="E330" t="s">
        <v>23</v>
      </c>
      <c r="F330" t="s">
        <v>39</v>
      </c>
      <c r="G330">
        <v>3</v>
      </c>
      <c r="H330">
        <v>268</v>
      </c>
      <c r="I330">
        <v>804</v>
      </c>
      <c r="J330">
        <v>559.55999999999995</v>
      </c>
      <c r="K330">
        <v>244.44</v>
      </c>
      <c r="L330" t="s">
        <v>18</v>
      </c>
      <c r="M330" t="s">
        <v>30</v>
      </c>
      <c r="N330" t="str">
        <f>TEXT(SalesData[[#This Row],[Order Date]],"MMM-YYYY")</f>
        <v>Apr-2024</v>
      </c>
      <c r="O330" s="2">
        <f>SalesData[[#This Row],[Profit]]/SalesData[[#This Row],[Sales]]</f>
        <v>0.30402985074626865</v>
      </c>
    </row>
    <row r="331" spans="1:15" x14ac:dyDescent="0.25">
      <c r="A331" t="s">
        <v>368</v>
      </c>
      <c r="B331" s="1">
        <v>45315</v>
      </c>
      <c r="C331" t="s">
        <v>41</v>
      </c>
      <c r="D331" t="s">
        <v>28</v>
      </c>
      <c r="E331" t="s">
        <v>16</v>
      </c>
      <c r="F331" t="s">
        <v>17</v>
      </c>
      <c r="G331">
        <v>8</v>
      </c>
      <c r="H331">
        <v>342</v>
      </c>
      <c r="I331">
        <v>2736</v>
      </c>
      <c r="J331">
        <v>1967.68</v>
      </c>
      <c r="K331">
        <v>768.32</v>
      </c>
      <c r="L331" t="s">
        <v>25</v>
      </c>
      <c r="M331" t="s">
        <v>44</v>
      </c>
      <c r="N331" t="str">
        <f>TEXT(SalesData[[#This Row],[Order Date]],"MMM-YYYY")</f>
        <v>Jan-2024</v>
      </c>
      <c r="O331" s="2">
        <f>SalesData[[#This Row],[Profit]]/SalesData[[#This Row],[Sales]]</f>
        <v>0.28081871345029241</v>
      </c>
    </row>
    <row r="332" spans="1:15" x14ac:dyDescent="0.25">
      <c r="A332" t="s">
        <v>369</v>
      </c>
      <c r="B332" s="1">
        <v>45536</v>
      </c>
      <c r="C332" t="s">
        <v>21</v>
      </c>
      <c r="D332" t="s">
        <v>22</v>
      </c>
      <c r="E332" t="s">
        <v>34</v>
      </c>
      <c r="F332" t="s">
        <v>47</v>
      </c>
      <c r="G332">
        <v>3</v>
      </c>
      <c r="H332">
        <v>57</v>
      </c>
      <c r="I332">
        <v>171</v>
      </c>
      <c r="J332">
        <v>136.5</v>
      </c>
      <c r="K332">
        <v>34.5</v>
      </c>
      <c r="L332" t="s">
        <v>18</v>
      </c>
      <c r="M332" t="s">
        <v>44</v>
      </c>
      <c r="N332" t="str">
        <f>TEXT(SalesData[[#This Row],[Order Date]],"MMM-YYYY")</f>
        <v>Sep-2024</v>
      </c>
      <c r="O332" s="2">
        <f>SalesData[[#This Row],[Profit]]/SalesData[[#This Row],[Sales]]</f>
        <v>0.20175438596491227</v>
      </c>
    </row>
    <row r="333" spans="1:15" x14ac:dyDescent="0.25">
      <c r="A333" t="s">
        <v>370</v>
      </c>
      <c r="B333" s="1">
        <v>45548</v>
      </c>
      <c r="C333" t="s">
        <v>14</v>
      </c>
      <c r="D333" t="s">
        <v>15</v>
      </c>
      <c r="E333" t="s">
        <v>16</v>
      </c>
      <c r="F333" t="s">
        <v>64</v>
      </c>
      <c r="G333">
        <v>3</v>
      </c>
      <c r="H333">
        <v>276</v>
      </c>
      <c r="I333">
        <v>828</v>
      </c>
      <c r="J333">
        <v>479.19</v>
      </c>
      <c r="K333">
        <v>348.81</v>
      </c>
      <c r="L333" t="s">
        <v>18</v>
      </c>
      <c r="M333" t="s">
        <v>26</v>
      </c>
      <c r="N333" t="str">
        <f>TEXT(SalesData[[#This Row],[Order Date]],"MMM-YYYY")</f>
        <v>Sep-2024</v>
      </c>
      <c r="O333" s="2">
        <f>SalesData[[#This Row],[Profit]]/SalesData[[#This Row],[Sales]]</f>
        <v>0.42126811594202901</v>
      </c>
    </row>
    <row r="334" spans="1:15" x14ac:dyDescent="0.25">
      <c r="A334" t="s">
        <v>371</v>
      </c>
      <c r="B334" s="1">
        <v>45535</v>
      </c>
      <c r="C334" t="s">
        <v>14</v>
      </c>
      <c r="D334" t="s">
        <v>28</v>
      </c>
      <c r="E334" t="s">
        <v>34</v>
      </c>
      <c r="F334" t="s">
        <v>53</v>
      </c>
      <c r="G334">
        <v>8</v>
      </c>
      <c r="H334">
        <v>689</v>
      </c>
      <c r="I334">
        <v>5512</v>
      </c>
      <c r="J334">
        <v>3073.55</v>
      </c>
      <c r="K334">
        <v>2438.4499999999998</v>
      </c>
      <c r="L334" t="s">
        <v>25</v>
      </c>
      <c r="M334" t="s">
        <v>44</v>
      </c>
      <c r="N334" t="str">
        <f>TEXT(SalesData[[#This Row],[Order Date]],"MMM-YYYY")</f>
        <v>Aug-2024</v>
      </c>
      <c r="O334" s="2">
        <f>SalesData[[#This Row],[Profit]]/SalesData[[#This Row],[Sales]]</f>
        <v>0.4423893323657474</v>
      </c>
    </row>
    <row r="335" spans="1:15" x14ac:dyDescent="0.25">
      <c r="A335" t="s">
        <v>372</v>
      </c>
      <c r="B335" s="1">
        <v>45502</v>
      </c>
      <c r="C335" t="s">
        <v>21</v>
      </c>
      <c r="D335" t="s">
        <v>22</v>
      </c>
      <c r="E335" t="s">
        <v>23</v>
      </c>
      <c r="F335" t="s">
        <v>24</v>
      </c>
      <c r="G335">
        <v>4</v>
      </c>
      <c r="H335">
        <v>375</v>
      </c>
      <c r="I335">
        <v>1500</v>
      </c>
      <c r="J335">
        <v>1014.07</v>
      </c>
      <c r="K335">
        <v>485.93</v>
      </c>
      <c r="L335" t="s">
        <v>25</v>
      </c>
      <c r="M335" t="s">
        <v>19</v>
      </c>
      <c r="N335" t="str">
        <f>TEXT(SalesData[[#This Row],[Order Date]],"MMM-YYYY")</f>
        <v>Jul-2024</v>
      </c>
      <c r="O335" s="2">
        <f>SalesData[[#This Row],[Profit]]/SalesData[[#This Row],[Sales]]</f>
        <v>0.32395333333333332</v>
      </c>
    </row>
    <row r="336" spans="1:15" x14ac:dyDescent="0.25">
      <c r="A336" t="s">
        <v>373</v>
      </c>
      <c r="B336" s="1">
        <v>45382</v>
      </c>
      <c r="C336" t="s">
        <v>38</v>
      </c>
      <c r="D336" t="s">
        <v>28</v>
      </c>
      <c r="E336" t="s">
        <v>34</v>
      </c>
      <c r="F336" t="s">
        <v>53</v>
      </c>
      <c r="G336">
        <v>3</v>
      </c>
      <c r="H336">
        <v>993</v>
      </c>
      <c r="I336">
        <v>2979</v>
      </c>
      <c r="J336">
        <v>2250.2199999999998</v>
      </c>
      <c r="K336">
        <v>728.78</v>
      </c>
      <c r="L336" t="s">
        <v>25</v>
      </c>
      <c r="M336" t="s">
        <v>19</v>
      </c>
      <c r="N336" t="str">
        <f>TEXT(SalesData[[#This Row],[Order Date]],"MMM-YYYY")</f>
        <v>Mar-2024</v>
      </c>
      <c r="O336" s="2">
        <f>SalesData[[#This Row],[Profit]]/SalesData[[#This Row],[Sales]]</f>
        <v>0.24463914065122525</v>
      </c>
    </row>
    <row r="337" spans="1:15" x14ac:dyDescent="0.25">
      <c r="A337" t="s">
        <v>374</v>
      </c>
      <c r="B337" s="1">
        <v>45385</v>
      </c>
      <c r="C337" t="s">
        <v>41</v>
      </c>
      <c r="D337" t="s">
        <v>28</v>
      </c>
      <c r="E337" t="s">
        <v>34</v>
      </c>
      <c r="F337" t="s">
        <v>47</v>
      </c>
      <c r="G337">
        <v>10</v>
      </c>
      <c r="H337">
        <v>812</v>
      </c>
      <c r="I337">
        <v>8120</v>
      </c>
      <c r="J337">
        <v>5681.33</v>
      </c>
      <c r="K337">
        <v>2438.67</v>
      </c>
      <c r="L337" t="s">
        <v>25</v>
      </c>
      <c r="M337" t="s">
        <v>26</v>
      </c>
      <c r="N337" t="str">
        <f>TEXT(SalesData[[#This Row],[Order Date]],"MMM-YYYY")</f>
        <v>Apr-2024</v>
      </c>
      <c r="O337" s="2">
        <f>SalesData[[#This Row],[Profit]]/SalesData[[#This Row],[Sales]]</f>
        <v>0.30032881773399017</v>
      </c>
    </row>
    <row r="338" spans="1:15" x14ac:dyDescent="0.25">
      <c r="A338" t="s">
        <v>375</v>
      </c>
      <c r="B338" s="1">
        <v>45552</v>
      </c>
      <c r="C338" t="s">
        <v>41</v>
      </c>
      <c r="D338" t="s">
        <v>15</v>
      </c>
      <c r="E338" t="s">
        <v>16</v>
      </c>
      <c r="F338" t="s">
        <v>29</v>
      </c>
      <c r="G338">
        <v>7</v>
      </c>
      <c r="H338">
        <v>42</v>
      </c>
      <c r="I338">
        <v>294</v>
      </c>
      <c r="J338">
        <v>183.62</v>
      </c>
      <c r="K338">
        <v>110.38</v>
      </c>
      <c r="L338" t="s">
        <v>25</v>
      </c>
      <c r="M338" t="s">
        <v>26</v>
      </c>
      <c r="N338" t="str">
        <f>TEXT(SalesData[[#This Row],[Order Date]],"MMM-YYYY")</f>
        <v>Sep-2024</v>
      </c>
      <c r="O338" s="2">
        <f>SalesData[[#This Row],[Profit]]/SalesData[[#This Row],[Sales]]</f>
        <v>0.37544217687074827</v>
      </c>
    </row>
    <row r="339" spans="1:15" x14ac:dyDescent="0.25">
      <c r="A339" t="s">
        <v>376</v>
      </c>
      <c r="B339" s="1">
        <v>45474</v>
      </c>
      <c r="C339" t="s">
        <v>38</v>
      </c>
      <c r="D339" t="s">
        <v>22</v>
      </c>
      <c r="E339" t="s">
        <v>16</v>
      </c>
      <c r="F339" t="s">
        <v>29</v>
      </c>
      <c r="G339">
        <v>1</v>
      </c>
      <c r="H339">
        <v>223</v>
      </c>
      <c r="I339">
        <v>223</v>
      </c>
      <c r="J339">
        <v>160.76</v>
      </c>
      <c r="K339">
        <v>62.24</v>
      </c>
      <c r="L339" t="s">
        <v>25</v>
      </c>
      <c r="M339" t="s">
        <v>44</v>
      </c>
      <c r="N339" t="str">
        <f>TEXT(SalesData[[#This Row],[Order Date]],"MMM-YYYY")</f>
        <v>Jul-2024</v>
      </c>
      <c r="O339" s="2">
        <f>SalesData[[#This Row],[Profit]]/SalesData[[#This Row],[Sales]]</f>
        <v>0.27910313901345291</v>
      </c>
    </row>
    <row r="340" spans="1:15" x14ac:dyDescent="0.25">
      <c r="A340" t="s">
        <v>377</v>
      </c>
      <c r="B340" s="1">
        <v>45394</v>
      </c>
      <c r="C340" t="s">
        <v>21</v>
      </c>
      <c r="D340" t="s">
        <v>15</v>
      </c>
      <c r="E340" t="s">
        <v>16</v>
      </c>
      <c r="F340" t="s">
        <v>64</v>
      </c>
      <c r="G340">
        <v>5</v>
      </c>
      <c r="H340">
        <v>760</v>
      </c>
      <c r="I340">
        <v>3800</v>
      </c>
      <c r="J340">
        <v>2215.48</v>
      </c>
      <c r="K340">
        <v>1584.52</v>
      </c>
      <c r="L340" t="s">
        <v>25</v>
      </c>
      <c r="M340" t="s">
        <v>30</v>
      </c>
      <c r="N340" t="str">
        <f>TEXT(SalesData[[#This Row],[Order Date]],"MMM-YYYY")</f>
        <v>Apr-2024</v>
      </c>
      <c r="O340" s="2">
        <f>SalesData[[#This Row],[Profit]]/SalesData[[#This Row],[Sales]]</f>
        <v>0.41697894736842106</v>
      </c>
    </row>
    <row r="341" spans="1:15" x14ac:dyDescent="0.25">
      <c r="A341" t="s">
        <v>378</v>
      </c>
      <c r="B341" s="1">
        <v>45470</v>
      </c>
      <c r="C341" t="s">
        <v>14</v>
      </c>
      <c r="D341" t="s">
        <v>42</v>
      </c>
      <c r="E341" t="s">
        <v>34</v>
      </c>
      <c r="F341" t="s">
        <v>47</v>
      </c>
      <c r="G341">
        <v>3</v>
      </c>
      <c r="H341">
        <v>356</v>
      </c>
      <c r="I341">
        <v>1068</v>
      </c>
      <c r="J341">
        <v>553.29</v>
      </c>
      <c r="K341">
        <v>514.71</v>
      </c>
      <c r="L341" t="s">
        <v>25</v>
      </c>
      <c r="M341" t="s">
        <v>30</v>
      </c>
      <c r="N341" t="str">
        <f>TEXT(SalesData[[#This Row],[Order Date]],"MMM-YYYY")</f>
        <v>Jun-2024</v>
      </c>
      <c r="O341" s="2">
        <f>SalesData[[#This Row],[Profit]]/SalesData[[#This Row],[Sales]]</f>
        <v>0.48193820224719103</v>
      </c>
    </row>
    <row r="342" spans="1:15" x14ac:dyDescent="0.25">
      <c r="A342" t="s">
        <v>379</v>
      </c>
      <c r="B342" s="1">
        <v>45582</v>
      </c>
      <c r="C342" t="s">
        <v>38</v>
      </c>
      <c r="D342" t="s">
        <v>22</v>
      </c>
      <c r="E342" t="s">
        <v>34</v>
      </c>
      <c r="F342" t="s">
        <v>35</v>
      </c>
      <c r="G342">
        <v>3</v>
      </c>
      <c r="H342">
        <v>831</v>
      </c>
      <c r="I342">
        <v>2493</v>
      </c>
      <c r="J342">
        <v>1723.92</v>
      </c>
      <c r="K342">
        <v>769.08</v>
      </c>
      <c r="L342" t="s">
        <v>18</v>
      </c>
      <c r="M342" t="s">
        <v>30</v>
      </c>
      <c r="N342" t="str">
        <f>TEXT(SalesData[[#This Row],[Order Date]],"MMM-YYYY")</f>
        <v>Oct-2024</v>
      </c>
      <c r="O342" s="2">
        <f>SalesData[[#This Row],[Profit]]/SalesData[[#This Row],[Sales]]</f>
        <v>0.30849578820697954</v>
      </c>
    </row>
    <row r="343" spans="1:15" x14ac:dyDescent="0.25">
      <c r="A343" t="s">
        <v>380</v>
      </c>
      <c r="B343" s="1">
        <v>45585</v>
      </c>
      <c r="C343" t="s">
        <v>21</v>
      </c>
      <c r="D343" t="s">
        <v>22</v>
      </c>
      <c r="E343" t="s">
        <v>23</v>
      </c>
      <c r="F343" t="s">
        <v>24</v>
      </c>
      <c r="G343">
        <v>10</v>
      </c>
      <c r="H343">
        <v>808</v>
      </c>
      <c r="I343">
        <v>8080</v>
      </c>
      <c r="J343">
        <v>5452.05</v>
      </c>
      <c r="K343">
        <v>2627.95</v>
      </c>
      <c r="L343" t="s">
        <v>18</v>
      </c>
      <c r="M343" t="s">
        <v>44</v>
      </c>
      <c r="N343" t="str">
        <f>TEXT(SalesData[[#This Row],[Order Date]],"MMM-YYYY")</f>
        <v>Oct-2024</v>
      </c>
      <c r="O343" s="2">
        <f>SalesData[[#This Row],[Profit]]/SalesData[[#This Row],[Sales]]</f>
        <v>0.32524133663366334</v>
      </c>
    </row>
    <row r="344" spans="1:15" x14ac:dyDescent="0.25">
      <c r="A344" t="s">
        <v>381</v>
      </c>
      <c r="B344" s="1">
        <v>45584</v>
      </c>
      <c r="C344" t="s">
        <v>38</v>
      </c>
      <c r="D344" t="s">
        <v>28</v>
      </c>
      <c r="E344" t="s">
        <v>16</v>
      </c>
      <c r="F344" t="s">
        <v>64</v>
      </c>
      <c r="G344">
        <v>6</v>
      </c>
      <c r="H344">
        <v>804</v>
      </c>
      <c r="I344">
        <v>4824</v>
      </c>
      <c r="J344">
        <v>3426.26</v>
      </c>
      <c r="K344">
        <v>1397.74</v>
      </c>
      <c r="L344" t="s">
        <v>25</v>
      </c>
      <c r="M344" t="s">
        <v>30</v>
      </c>
      <c r="N344" t="str">
        <f>TEXT(SalesData[[#This Row],[Order Date]],"MMM-YYYY")</f>
        <v>Oct-2024</v>
      </c>
      <c r="O344" s="2">
        <f>SalesData[[#This Row],[Profit]]/SalesData[[#This Row],[Sales]]</f>
        <v>0.28974709784411279</v>
      </c>
    </row>
    <row r="345" spans="1:15" x14ac:dyDescent="0.25">
      <c r="A345" t="s">
        <v>382</v>
      </c>
      <c r="B345" s="1">
        <v>45582</v>
      </c>
      <c r="C345" t="s">
        <v>21</v>
      </c>
      <c r="D345" t="s">
        <v>28</v>
      </c>
      <c r="E345" t="s">
        <v>23</v>
      </c>
      <c r="F345" t="s">
        <v>24</v>
      </c>
      <c r="G345">
        <v>4</v>
      </c>
      <c r="H345">
        <v>94</v>
      </c>
      <c r="I345">
        <v>376</v>
      </c>
      <c r="J345">
        <v>209.74</v>
      </c>
      <c r="K345">
        <v>166.26</v>
      </c>
      <c r="L345" t="s">
        <v>18</v>
      </c>
      <c r="M345" t="s">
        <v>30</v>
      </c>
      <c r="N345" t="str">
        <f>TEXT(SalesData[[#This Row],[Order Date]],"MMM-YYYY")</f>
        <v>Oct-2024</v>
      </c>
      <c r="O345" s="2">
        <f>SalesData[[#This Row],[Profit]]/SalesData[[#This Row],[Sales]]</f>
        <v>0.44218085106382976</v>
      </c>
    </row>
    <row r="346" spans="1:15" x14ac:dyDescent="0.25">
      <c r="A346" t="s">
        <v>383</v>
      </c>
      <c r="B346" s="1">
        <v>45335</v>
      </c>
      <c r="C346" t="s">
        <v>38</v>
      </c>
      <c r="D346" t="s">
        <v>28</v>
      </c>
      <c r="E346" t="s">
        <v>34</v>
      </c>
      <c r="F346" t="s">
        <v>53</v>
      </c>
      <c r="G346">
        <v>8</v>
      </c>
      <c r="H346">
        <v>513</v>
      </c>
      <c r="I346">
        <v>4104</v>
      </c>
      <c r="J346">
        <v>2819.54</v>
      </c>
      <c r="K346">
        <v>1284.46</v>
      </c>
      <c r="L346" t="s">
        <v>18</v>
      </c>
      <c r="M346" t="s">
        <v>26</v>
      </c>
      <c r="N346" t="str">
        <f>TEXT(SalesData[[#This Row],[Order Date]],"MMM-YYYY")</f>
        <v>Feb-2024</v>
      </c>
      <c r="O346" s="2">
        <f>SalesData[[#This Row],[Profit]]/SalesData[[#This Row],[Sales]]</f>
        <v>0.31297758284600391</v>
      </c>
    </row>
    <row r="347" spans="1:15" x14ac:dyDescent="0.25">
      <c r="A347" t="s">
        <v>384</v>
      </c>
      <c r="B347" s="1">
        <v>45493</v>
      </c>
      <c r="C347" t="s">
        <v>14</v>
      </c>
      <c r="D347" t="s">
        <v>28</v>
      </c>
      <c r="E347" t="s">
        <v>16</v>
      </c>
      <c r="F347" t="s">
        <v>17</v>
      </c>
      <c r="G347">
        <v>6</v>
      </c>
      <c r="H347">
        <v>428</v>
      </c>
      <c r="I347">
        <v>2568</v>
      </c>
      <c r="J347">
        <v>1385.72</v>
      </c>
      <c r="K347">
        <v>1182.28</v>
      </c>
      <c r="L347" t="s">
        <v>18</v>
      </c>
      <c r="M347" t="s">
        <v>30</v>
      </c>
      <c r="N347" t="str">
        <f>TEXT(SalesData[[#This Row],[Order Date]],"MMM-YYYY")</f>
        <v>Jul-2024</v>
      </c>
      <c r="O347" s="2">
        <f>SalesData[[#This Row],[Profit]]/SalesData[[#This Row],[Sales]]</f>
        <v>0.46038940809968848</v>
      </c>
    </row>
    <row r="348" spans="1:15" x14ac:dyDescent="0.25">
      <c r="A348" t="s">
        <v>385</v>
      </c>
      <c r="B348" s="1">
        <v>45445</v>
      </c>
      <c r="C348" t="s">
        <v>21</v>
      </c>
      <c r="D348" t="s">
        <v>42</v>
      </c>
      <c r="E348" t="s">
        <v>34</v>
      </c>
      <c r="F348" t="s">
        <v>53</v>
      </c>
      <c r="G348">
        <v>6</v>
      </c>
      <c r="H348">
        <v>203</v>
      </c>
      <c r="I348">
        <v>1218</v>
      </c>
      <c r="J348">
        <v>773.6</v>
      </c>
      <c r="K348">
        <v>444.4</v>
      </c>
      <c r="L348" t="s">
        <v>25</v>
      </c>
      <c r="M348" t="s">
        <v>19</v>
      </c>
      <c r="N348" t="str">
        <f>TEXT(SalesData[[#This Row],[Order Date]],"MMM-YYYY")</f>
        <v>Jun-2024</v>
      </c>
      <c r="O348" s="2">
        <f>SalesData[[#This Row],[Profit]]/SalesData[[#This Row],[Sales]]</f>
        <v>0.36486042692939241</v>
      </c>
    </row>
    <row r="349" spans="1:15" x14ac:dyDescent="0.25">
      <c r="A349" t="s">
        <v>386</v>
      </c>
      <c r="B349" s="1">
        <v>45404</v>
      </c>
      <c r="C349" t="s">
        <v>38</v>
      </c>
      <c r="D349" t="s">
        <v>22</v>
      </c>
      <c r="E349" t="s">
        <v>34</v>
      </c>
      <c r="F349" t="s">
        <v>47</v>
      </c>
      <c r="G349">
        <v>4</v>
      </c>
      <c r="H349">
        <v>261</v>
      </c>
      <c r="I349">
        <v>1044</v>
      </c>
      <c r="J349">
        <v>538.67999999999995</v>
      </c>
      <c r="K349">
        <v>505.32</v>
      </c>
      <c r="L349" t="s">
        <v>25</v>
      </c>
      <c r="M349" t="s">
        <v>44</v>
      </c>
      <c r="N349" t="str">
        <f>TEXT(SalesData[[#This Row],[Order Date]],"MMM-YYYY")</f>
        <v>Apr-2024</v>
      </c>
      <c r="O349" s="2">
        <f>SalesData[[#This Row],[Profit]]/SalesData[[#This Row],[Sales]]</f>
        <v>0.4840229885057471</v>
      </c>
    </row>
    <row r="350" spans="1:15" x14ac:dyDescent="0.25">
      <c r="A350" t="s">
        <v>387</v>
      </c>
      <c r="B350" s="1">
        <v>45516</v>
      </c>
      <c r="C350" t="s">
        <v>41</v>
      </c>
      <c r="D350" t="s">
        <v>28</v>
      </c>
      <c r="E350" t="s">
        <v>34</v>
      </c>
      <c r="F350" t="s">
        <v>47</v>
      </c>
      <c r="G350">
        <v>6</v>
      </c>
      <c r="H350">
        <v>463</v>
      </c>
      <c r="I350">
        <v>2778</v>
      </c>
      <c r="J350">
        <v>1996.99</v>
      </c>
      <c r="K350">
        <v>781.01</v>
      </c>
      <c r="L350" t="s">
        <v>18</v>
      </c>
      <c r="M350" t="s">
        <v>26</v>
      </c>
      <c r="N350" t="str">
        <f>TEXT(SalesData[[#This Row],[Order Date]],"MMM-YYYY")</f>
        <v>Aug-2024</v>
      </c>
      <c r="O350" s="2">
        <f>SalesData[[#This Row],[Profit]]/SalesData[[#This Row],[Sales]]</f>
        <v>0.2811411087113031</v>
      </c>
    </row>
    <row r="351" spans="1:15" x14ac:dyDescent="0.25">
      <c r="A351" t="s">
        <v>388</v>
      </c>
      <c r="B351" s="1">
        <v>45336</v>
      </c>
      <c r="C351" t="s">
        <v>41</v>
      </c>
      <c r="D351" t="s">
        <v>42</v>
      </c>
      <c r="E351" t="s">
        <v>16</v>
      </c>
      <c r="F351" t="s">
        <v>17</v>
      </c>
      <c r="G351">
        <v>6</v>
      </c>
      <c r="H351">
        <v>534</v>
      </c>
      <c r="I351">
        <v>3204</v>
      </c>
      <c r="J351">
        <v>2407.6</v>
      </c>
      <c r="K351">
        <v>796.4</v>
      </c>
      <c r="L351" t="s">
        <v>18</v>
      </c>
      <c r="M351" t="s">
        <v>30</v>
      </c>
      <c r="N351" t="str">
        <f>TEXT(SalesData[[#This Row],[Order Date]],"MMM-YYYY")</f>
        <v>Feb-2024</v>
      </c>
      <c r="O351" s="2">
        <f>SalesData[[#This Row],[Profit]]/SalesData[[#This Row],[Sales]]</f>
        <v>0.24856429463171034</v>
      </c>
    </row>
    <row r="352" spans="1:15" x14ac:dyDescent="0.25">
      <c r="A352" t="s">
        <v>389</v>
      </c>
      <c r="B352" s="1">
        <v>45335</v>
      </c>
      <c r="C352" t="s">
        <v>41</v>
      </c>
      <c r="D352" t="s">
        <v>22</v>
      </c>
      <c r="E352" t="s">
        <v>34</v>
      </c>
      <c r="F352" t="s">
        <v>53</v>
      </c>
      <c r="G352">
        <v>10</v>
      </c>
      <c r="H352">
        <v>867</v>
      </c>
      <c r="I352">
        <v>8670</v>
      </c>
      <c r="J352">
        <v>5440.87</v>
      </c>
      <c r="K352">
        <v>3229.13</v>
      </c>
      <c r="L352" t="s">
        <v>18</v>
      </c>
      <c r="M352" t="s">
        <v>26</v>
      </c>
      <c r="N352" t="str">
        <f>TEXT(SalesData[[#This Row],[Order Date]],"MMM-YYYY")</f>
        <v>Feb-2024</v>
      </c>
      <c r="O352" s="2">
        <f>SalesData[[#This Row],[Profit]]/SalesData[[#This Row],[Sales]]</f>
        <v>0.37244867358708189</v>
      </c>
    </row>
    <row r="353" spans="1:15" x14ac:dyDescent="0.25">
      <c r="A353" t="s">
        <v>390</v>
      </c>
      <c r="B353" s="1">
        <v>45294</v>
      </c>
      <c r="C353" t="s">
        <v>21</v>
      </c>
      <c r="D353" t="s">
        <v>22</v>
      </c>
      <c r="E353" t="s">
        <v>16</v>
      </c>
      <c r="F353" t="s">
        <v>64</v>
      </c>
      <c r="G353">
        <v>3</v>
      </c>
      <c r="H353">
        <v>984</v>
      </c>
      <c r="I353">
        <v>2952</v>
      </c>
      <c r="J353">
        <v>1805.74</v>
      </c>
      <c r="K353">
        <v>1146.26</v>
      </c>
      <c r="L353" t="s">
        <v>18</v>
      </c>
      <c r="M353" t="s">
        <v>26</v>
      </c>
      <c r="N353" t="str">
        <f>TEXT(SalesData[[#This Row],[Order Date]],"MMM-YYYY")</f>
        <v>Jan-2024</v>
      </c>
      <c r="O353" s="2">
        <f>SalesData[[#This Row],[Profit]]/SalesData[[#This Row],[Sales]]</f>
        <v>0.38829945799457993</v>
      </c>
    </row>
    <row r="354" spans="1:15" x14ac:dyDescent="0.25">
      <c r="A354" t="s">
        <v>391</v>
      </c>
      <c r="B354" s="1">
        <v>45361</v>
      </c>
      <c r="C354" t="s">
        <v>14</v>
      </c>
      <c r="D354" t="s">
        <v>22</v>
      </c>
      <c r="E354" t="s">
        <v>16</v>
      </c>
      <c r="F354" t="s">
        <v>64</v>
      </c>
      <c r="G354">
        <v>10</v>
      </c>
      <c r="H354">
        <v>295</v>
      </c>
      <c r="I354">
        <v>2950</v>
      </c>
      <c r="J354">
        <v>1562.59</v>
      </c>
      <c r="K354">
        <v>1387.41</v>
      </c>
      <c r="L354" t="s">
        <v>25</v>
      </c>
      <c r="M354" t="s">
        <v>26</v>
      </c>
      <c r="N354" t="str">
        <f>TEXT(SalesData[[#This Row],[Order Date]],"MMM-YYYY")</f>
        <v>Mar-2024</v>
      </c>
      <c r="O354" s="2">
        <f>SalesData[[#This Row],[Profit]]/SalesData[[#This Row],[Sales]]</f>
        <v>0.47030847457627123</v>
      </c>
    </row>
    <row r="355" spans="1:15" x14ac:dyDescent="0.25">
      <c r="A355" t="s">
        <v>392</v>
      </c>
      <c r="B355" s="1">
        <v>45390</v>
      </c>
      <c r="C355" t="s">
        <v>14</v>
      </c>
      <c r="D355" t="s">
        <v>15</v>
      </c>
      <c r="E355" t="s">
        <v>23</v>
      </c>
      <c r="F355" t="s">
        <v>39</v>
      </c>
      <c r="G355">
        <v>6</v>
      </c>
      <c r="H355">
        <v>413</v>
      </c>
      <c r="I355">
        <v>2478</v>
      </c>
      <c r="J355">
        <v>1565.73</v>
      </c>
      <c r="K355">
        <v>912.27</v>
      </c>
      <c r="L355" t="s">
        <v>18</v>
      </c>
      <c r="M355" t="s">
        <v>19</v>
      </c>
      <c r="N355" t="str">
        <f>TEXT(SalesData[[#This Row],[Order Date]],"MMM-YYYY")</f>
        <v>Apr-2024</v>
      </c>
      <c r="O355" s="2">
        <f>SalesData[[#This Row],[Profit]]/SalesData[[#This Row],[Sales]]</f>
        <v>0.36814769975786926</v>
      </c>
    </row>
    <row r="356" spans="1:15" x14ac:dyDescent="0.25">
      <c r="A356" t="s">
        <v>393</v>
      </c>
      <c r="B356" s="1">
        <v>45354</v>
      </c>
      <c r="C356" t="s">
        <v>21</v>
      </c>
      <c r="D356" t="s">
        <v>15</v>
      </c>
      <c r="E356" t="s">
        <v>16</v>
      </c>
      <c r="F356" t="s">
        <v>64</v>
      </c>
      <c r="G356">
        <v>4</v>
      </c>
      <c r="H356">
        <v>562</v>
      </c>
      <c r="I356">
        <v>2248</v>
      </c>
      <c r="J356">
        <v>1293.77</v>
      </c>
      <c r="K356">
        <v>954.23</v>
      </c>
      <c r="L356" t="s">
        <v>18</v>
      </c>
      <c r="M356" t="s">
        <v>30</v>
      </c>
      <c r="N356" t="str">
        <f>TEXT(SalesData[[#This Row],[Order Date]],"MMM-YYYY")</f>
        <v>Mar-2024</v>
      </c>
      <c r="O356" s="2">
        <f>SalesData[[#This Row],[Profit]]/SalesData[[#This Row],[Sales]]</f>
        <v>0.42447953736654803</v>
      </c>
    </row>
    <row r="357" spans="1:15" x14ac:dyDescent="0.25">
      <c r="A357" t="s">
        <v>394</v>
      </c>
      <c r="B357" s="1">
        <v>45435</v>
      </c>
      <c r="C357" t="s">
        <v>21</v>
      </c>
      <c r="D357" t="s">
        <v>15</v>
      </c>
      <c r="E357" t="s">
        <v>16</v>
      </c>
      <c r="F357" t="s">
        <v>64</v>
      </c>
      <c r="G357">
        <v>4</v>
      </c>
      <c r="H357">
        <v>918</v>
      </c>
      <c r="I357">
        <v>3672</v>
      </c>
      <c r="J357">
        <v>1917.85</v>
      </c>
      <c r="K357">
        <v>1754.15</v>
      </c>
      <c r="L357" t="s">
        <v>18</v>
      </c>
      <c r="M357" t="s">
        <v>30</v>
      </c>
      <c r="N357" t="str">
        <f>TEXT(SalesData[[#This Row],[Order Date]],"MMM-YYYY")</f>
        <v>May-2024</v>
      </c>
      <c r="O357" s="2">
        <f>SalesData[[#This Row],[Profit]]/SalesData[[#This Row],[Sales]]</f>
        <v>0.47770969498910676</v>
      </c>
    </row>
    <row r="358" spans="1:15" x14ac:dyDescent="0.25">
      <c r="A358" t="s">
        <v>395</v>
      </c>
      <c r="B358" s="1">
        <v>45444</v>
      </c>
      <c r="C358" t="s">
        <v>38</v>
      </c>
      <c r="D358" t="s">
        <v>42</v>
      </c>
      <c r="E358" t="s">
        <v>34</v>
      </c>
      <c r="F358" t="s">
        <v>53</v>
      </c>
      <c r="G358">
        <v>2</v>
      </c>
      <c r="H358">
        <v>940</v>
      </c>
      <c r="I358">
        <v>1880</v>
      </c>
      <c r="J358">
        <v>1418.07</v>
      </c>
      <c r="K358">
        <v>461.93</v>
      </c>
      <c r="L358" t="s">
        <v>25</v>
      </c>
      <c r="M358" t="s">
        <v>26</v>
      </c>
      <c r="N358" t="str">
        <f>TEXT(SalesData[[#This Row],[Order Date]],"MMM-YYYY")</f>
        <v>Jun-2024</v>
      </c>
      <c r="O358" s="2">
        <f>SalesData[[#This Row],[Profit]]/SalesData[[#This Row],[Sales]]</f>
        <v>0.24570744680851064</v>
      </c>
    </row>
    <row r="359" spans="1:15" x14ac:dyDescent="0.25">
      <c r="A359" t="s">
        <v>396</v>
      </c>
      <c r="B359" s="1">
        <v>45450</v>
      </c>
      <c r="C359" t="s">
        <v>41</v>
      </c>
      <c r="D359" t="s">
        <v>42</v>
      </c>
      <c r="E359" t="s">
        <v>16</v>
      </c>
      <c r="F359" t="s">
        <v>29</v>
      </c>
      <c r="G359">
        <v>7</v>
      </c>
      <c r="H359">
        <v>203</v>
      </c>
      <c r="I359">
        <v>1421</v>
      </c>
      <c r="J359">
        <v>835.98</v>
      </c>
      <c r="K359">
        <v>585.02</v>
      </c>
      <c r="L359" t="s">
        <v>18</v>
      </c>
      <c r="M359" t="s">
        <v>44</v>
      </c>
      <c r="N359" t="str">
        <f>TEXT(SalesData[[#This Row],[Order Date]],"MMM-YYYY")</f>
        <v>Jun-2024</v>
      </c>
      <c r="O359" s="2">
        <f>SalesData[[#This Row],[Profit]]/SalesData[[#This Row],[Sales]]</f>
        <v>0.4116959887403237</v>
      </c>
    </row>
    <row r="360" spans="1:15" x14ac:dyDescent="0.25">
      <c r="A360" t="s">
        <v>397</v>
      </c>
      <c r="B360" s="1">
        <v>45374</v>
      </c>
      <c r="C360" t="s">
        <v>41</v>
      </c>
      <c r="D360" t="s">
        <v>28</v>
      </c>
      <c r="E360" t="s">
        <v>34</v>
      </c>
      <c r="F360" t="s">
        <v>47</v>
      </c>
      <c r="G360">
        <v>9</v>
      </c>
      <c r="H360">
        <v>614</v>
      </c>
      <c r="I360">
        <v>5526</v>
      </c>
      <c r="J360">
        <v>3724.29</v>
      </c>
      <c r="K360">
        <v>1801.71</v>
      </c>
      <c r="L360" t="s">
        <v>18</v>
      </c>
      <c r="M360" t="s">
        <v>26</v>
      </c>
      <c r="N360" t="str">
        <f>TEXT(SalesData[[#This Row],[Order Date]],"MMM-YYYY")</f>
        <v>Mar-2024</v>
      </c>
      <c r="O360" s="2">
        <f>SalesData[[#This Row],[Profit]]/SalesData[[#This Row],[Sales]]</f>
        <v>0.32604234527687298</v>
      </c>
    </row>
    <row r="361" spans="1:15" x14ac:dyDescent="0.25">
      <c r="A361" t="s">
        <v>398</v>
      </c>
      <c r="B361" s="1">
        <v>45558</v>
      </c>
      <c r="C361" t="s">
        <v>14</v>
      </c>
      <c r="D361" t="s">
        <v>15</v>
      </c>
      <c r="E361" t="s">
        <v>34</v>
      </c>
      <c r="F361" t="s">
        <v>53</v>
      </c>
      <c r="G361">
        <v>2</v>
      </c>
      <c r="H361">
        <v>737</v>
      </c>
      <c r="I361">
        <v>1474</v>
      </c>
      <c r="J361">
        <v>806.69</v>
      </c>
      <c r="K361">
        <v>667.31</v>
      </c>
      <c r="L361" t="s">
        <v>25</v>
      </c>
      <c r="M361" t="s">
        <v>19</v>
      </c>
      <c r="N361" t="str">
        <f>TEXT(SalesData[[#This Row],[Order Date]],"MMM-YYYY")</f>
        <v>Sep-2024</v>
      </c>
      <c r="O361" s="2">
        <f>SalesData[[#This Row],[Profit]]/SalesData[[#This Row],[Sales]]</f>
        <v>0.45272048846675711</v>
      </c>
    </row>
    <row r="362" spans="1:15" x14ac:dyDescent="0.25">
      <c r="A362" t="s">
        <v>399</v>
      </c>
      <c r="B362" s="1">
        <v>45362</v>
      </c>
      <c r="C362" t="s">
        <v>14</v>
      </c>
      <c r="D362" t="s">
        <v>28</v>
      </c>
      <c r="E362" t="s">
        <v>23</v>
      </c>
      <c r="F362" t="s">
        <v>43</v>
      </c>
      <c r="G362">
        <v>6</v>
      </c>
      <c r="H362">
        <v>597</v>
      </c>
      <c r="I362">
        <v>3582</v>
      </c>
      <c r="J362">
        <v>2494.2199999999998</v>
      </c>
      <c r="K362">
        <v>1087.78</v>
      </c>
      <c r="L362" t="s">
        <v>25</v>
      </c>
      <c r="M362" t="s">
        <v>44</v>
      </c>
      <c r="N362" t="str">
        <f>TEXT(SalesData[[#This Row],[Order Date]],"MMM-YYYY")</f>
        <v>Mar-2024</v>
      </c>
      <c r="O362" s="2">
        <f>SalesData[[#This Row],[Profit]]/SalesData[[#This Row],[Sales]]</f>
        <v>0.30367950865438303</v>
      </c>
    </row>
    <row r="363" spans="1:15" x14ac:dyDescent="0.25">
      <c r="A363" t="s">
        <v>400</v>
      </c>
      <c r="B363" s="1">
        <v>45342</v>
      </c>
      <c r="C363" t="s">
        <v>38</v>
      </c>
      <c r="D363" t="s">
        <v>22</v>
      </c>
      <c r="E363" t="s">
        <v>34</v>
      </c>
      <c r="F363" t="s">
        <v>47</v>
      </c>
      <c r="G363">
        <v>6</v>
      </c>
      <c r="H363">
        <v>95</v>
      </c>
      <c r="I363">
        <v>570</v>
      </c>
      <c r="J363">
        <v>296.61</v>
      </c>
      <c r="K363">
        <v>273.39</v>
      </c>
      <c r="L363" t="s">
        <v>25</v>
      </c>
      <c r="M363" t="s">
        <v>30</v>
      </c>
      <c r="N363" t="str">
        <f>TEXT(SalesData[[#This Row],[Order Date]],"MMM-YYYY")</f>
        <v>Feb-2024</v>
      </c>
      <c r="O363" s="2">
        <f>SalesData[[#This Row],[Profit]]/SalesData[[#This Row],[Sales]]</f>
        <v>0.47963157894736841</v>
      </c>
    </row>
    <row r="364" spans="1:15" x14ac:dyDescent="0.25">
      <c r="A364" t="s">
        <v>401</v>
      </c>
      <c r="B364" s="1">
        <v>45334</v>
      </c>
      <c r="C364" t="s">
        <v>41</v>
      </c>
      <c r="D364" t="s">
        <v>28</v>
      </c>
      <c r="E364" t="s">
        <v>23</v>
      </c>
      <c r="F364" t="s">
        <v>39</v>
      </c>
      <c r="G364">
        <v>10</v>
      </c>
      <c r="H364">
        <v>64</v>
      </c>
      <c r="I364">
        <v>640</v>
      </c>
      <c r="J364">
        <v>348.79</v>
      </c>
      <c r="K364">
        <v>291.20999999999998</v>
      </c>
      <c r="L364" t="s">
        <v>18</v>
      </c>
      <c r="M364" t="s">
        <v>30</v>
      </c>
      <c r="N364" t="str">
        <f>TEXT(SalesData[[#This Row],[Order Date]],"MMM-YYYY")</f>
        <v>Feb-2024</v>
      </c>
      <c r="O364" s="2">
        <f>SalesData[[#This Row],[Profit]]/SalesData[[#This Row],[Sales]]</f>
        <v>0.45501562499999998</v>
      </c>
    </row>
    <row r="365" spans="1:15" x14ac:dyDescent="0.25">
      <c r="A365" t="s">
        <v>402</v>
      </c>
      <c r="B365" s="1">
        <v>45514</v>
      </c>
      <c r="C365" t="s">
        <v>21</v>
      </c>
      <c r="D365" t="s">
        <v>28</v>
      </c>
      <c r="E365" t="s">
        <v>16</v>
      </c>
      <c r="F365" t="s">
        <v>17</v>
      </c>
      <c r="G365">
        <v>8</v>
      </c>
      <c r="H365">
        <v>609</v>
      </c>
      <c r="I365">
        <v>4872</v>
      </c>
      <c r="J365">
        <v>2555.6</v>
      </c>
      <c r="K365">
        <v>2316.4</v>
      </c>
      <c r="L365" t="s">
        <v>25</v>
      </c>
      <c r="M365" t="s">
        <v>19</v>
      </c>
      <c r="N365" t="str">
        <f>TEXT(SalesData[[#This Row],[Order Date]],"MMM-YYYY")</f>
        <v>Aug-2024</v>
      </c>
      <c r="O365" s="2">
        <f>SalesData[[#This Row],[Profit]]/SalesData[[#This Row],[Sales]]</f>
        <v>0.47545155993431859</v>
      </c>
    </row>
    <row r="366" spans="1:15" x14ac:dyDescent="0.25">
      <c r="A366" t="s">
        <v>403</v>
      </c>
      <c r="B366" s="1">
        <v>45377</v>
      </c>
      <c r="C366" t="s">
        <v>14</v>
      </c>
      <c r="D366" t="s">
        <v>22</v>
      </c>
      <c r="E366" t="s">
        <v>16</v>
      </c>
      <c r="F366" t="s">
        <v>29</v>
      </c>
      <c r="G366">
        <v>6</v>
      </c>
      <c r="H366">
        <v>115</v>
      </c>
      <c r="I366">
        <v>690</v>
      </c>
      <c r="J366">
        <v>364.63</v>
      </c>
      <c r="K366">
        <v>325.37</v>
      </c>
      <c r="L366" t="s">
        <v>18</v>
      </c>
      <c r="M366" t="s">
        <v>26</v>
      </c>
      <c r="N366" t="str">
        <f>TEXT(SalesData[[#This Row],[Order Date]],"MMM-YYYY")</f>
        <v>Mar-2024</v>
      </c>
      <c r="O366" s="2">
        <f>SalesData[[#This Row],[Profit]]/SalesData[[#This Row],[Sales]]</f>
        <v>0.47155072463768116</v>
      </c>
    </row>
    <row r="367" spans="1:15" x14ac:dyDescent="0.25">
      <c r="A367" t="s">
        <v>404</v>
      </c>
      <c r="B367" s="1">
        <v>45371</v>
      </c>
      <c r="C367" t="s">
        <v>14</v>
      </c>
      <c r="D367" t="s">
        <v>15</v>
      </c>
      <c r="E367" t="s">
        <v>23</v>
      </c>
      <c r="F367" t="s">
        <v>39</v>
      </c>
      <c r="G367">
        <v>7</v>
      </c>
      <c r="H367">
        <v>175</v>
      </c>
      <c r="I367">
        <v>1225</v>
      </c>
      <c r="J367">
        <v>893.34</v>
      </c>
      <c r="K367">
        <v>331.66</v>
      </c>
      <c r="L367" t="s">
        <v>18</v>
      </c>
      <c r="M367" t="s">
        <v>19</v>
      </c>
      <c r="N367" t="str">
        <f>TEXT(SalesData[[#This Row],[Order Date]],"MMM-YYYY")</f>
        <v>Mar-2024</v>
      </c>
      <c r="O367" s="2">
        <f>SalesData[[#This Row],[Profit]]/SalesData[[#This Row],[Sales]]</f>
        <v>0.27074285714285717</v>
      </c>
    </row>
    <row r="368" spans="1:15" x14ac:dyDescent="0.25">
      <c r="A368" t="s">
        <v>405</v>
      </c>
      <c r="B368" s="1">
        <v>45528</v>
      </c>
      <c r="C368" t="s">
        <v>41</v>
      </c>
      <c r="D368" t="s">
        <v>42</v>
      </c>
      <c r="E368" t="s">
        <v>34</v>
      </c>
      <c r="F368" t="s">
        <v>35</v>
      </c>
      <c r="G368">
        <v>7</v>
      </c>
      <c r="H368">
        <v>675</v>
      </c>
      <c r="I368">
        <v>4725</v>
      </c>
      <c r="J368">
        <v>2513.04</v>
      </c>
      <c r="K368">
        <v>2211.96</v>
      </c>
      <c r="L368" t="s">
        <v>25</v>
      </c>
      <c r="M368" t="s">
        <v>26</v>
      </c>
      <c r="N368" t="str">
        <f>TEXT(SalesData[[#This Row],[Order Date]],"MMM-YYYY")</f>
        <v>Aug-2024</v>
      </c>
      <c r="O368" s="2">
        <f>SalesData[[#This Row],[Profit]]/SalesData[[#This Row],[Sales]]</f>
        <v>0.46813968253968252</v>
      </c>
    </row>
    <row r="369" spans="1:15" x14ac:dyDescent="0.25">
      <c r="A369" t="s">
        <v>406</v>
      </c>
      <c r="B369" s="1">
        <v>45468</v>
      </c>
      <c r="C369" t="s">
        <v>14</v>
      </c>
      <c r="D369" t="s">
        <v>28</v>
      </c>
      <c r="E369" t="s">
        <v>16</v>
      </c>
      <c r="F369" t="s">
        <v>64</v>
      </c>
      <c r="G369">
        <v>2</v>
      </c>
      <c r="H369">
        <v>890</v>
      </c>
      <c r="I369">
        <v>1780</v>
      </c>
      <c r="J369">
        <v>966.07</v>
      </c>
      <c r="K369">
        <v>813.93</v>
      </c>
      <c r="L369" t="s">
        <v>18</v>
      </c>
      <c r="M369" t="s">
        <v>30</v>
      </c>
      <c r="N369" t="str">
        <f>TEXT(SalesData[[#This Row],[Order Date]],"MMM-YYYY")</f>
        <v>Jun-2024</v>
      </c>
      <c r="O369" s="2">
        <f>SalesData[[#This Row],[Profit]]/SalesData[[#This Row],[Sales]]</f>
        <v>0.45726404494382017</v>
      </c>
    </row>
    <row r="370" spans="1:15" x14ac:dyDescent="0.25">
      <c r="A370" t="s">
        <v>407</v>
      </c>
      <c r="B370" s="1">
        <v>45505</v>
      </c>
      <c r="C370" t="s">
        <v>38</v>
      </c>
      <c r="D370" t="s">
        <v>42</v>
      </c>
      <c r="E370" t="s">
        <v>23</v>
      </c>
      <c r="F370" t="s">
        <v>43</v>
      </c>
      <c r="G370">
        <v>7</v>
      </c>
      <c r="H370">
        <v>171</v>
      </c>
      <c r="I370">
        <v>1197</v>
      </c>
      <c r="J370">
        <v>954.03</v>
      </c>
      <c r="K370">
        <v>242.97</v>
      </c>
      <c r="L370" t="s">
        <v>18</v>
      </c>
      <c r="M370" t="s">
        <v>26</v>
      </c>
      <c r="N370" t="str">
        <f>TEXT(SalesData[[#This Row],[Order Date]],"MMM-YYYY")</f>
        <v>Aug-2024</v>
      </c>
      <c r="O370" s="2">
        <f>SalesData[[#This Row],[Profit]]/SalesData[[#This Row],[Sales]]</f>
        <v>0.20298245614035088</v>
      </c>
    </row>
    <row r="371" spans="1:15" x14ac:dyDescent="0.25">
      <c r="A371" t="s">
        <v>408</v>
      </c>
      <c r="B371" s="1">
        <v>45577</v>
      </c>
      <c r="C371" t="s">
        <v>41</v>
      </c>
      <c r="D371" t="s">
        <v>22</v>
      </c>
      <c r="E371" t="s">
        <v>34</v>
      </c>
      <c r="F371" t="s">
        <v>53</v>
      </c>
      <c r="G371">
        <v>6</v>
      </c>
      <c r="H371">
        <v>59</v>
      </c>
      <c r="I371">
        <v>354</v>
      </c>
      <c r="J371">
        <v>221.41</v>
      </c>
      <c r="K371">
        <v>132.59</v>
      </c>
      <c r="L371" t="s">
        <v>18</v>
      </c>
      <c r="M371" t="s">
        <v>19</v>
      </c>
      <c r="N371" t="str">
        <f>TEXT(SalesData[[#This Row],[Order Date]],"MMM-YYYY")</f>
        <v>Oct-2024</v>
      </c>
      <c r="O371" s="2">
        <f>SalesData[[#This Row],[Profit]]/SalesData[[#This Row],[Sales]]</f>
        <v>0.37454802259887005</v>
      </c>
    </row>
    <row r="372" spans="1:15" x14ac:dyDescent="0.25">
      <c r="A372" t="s">
        <v>409</v>
      </c>
      <c r="B372" s="1">
        <v>45423</v>
      </c>
      <c r="C372" t="s">
        <v>41</v>
      </c>
      <c r="D372" t="s">
        <v>22</v>
      </c>
      <c r="E372" t="s">
        <v>16</v>
      </c>
      <c r="F372" t="s">
        <v>64</v>
      </c>
      <c r="G372">
        <v>1</v>
      </c>
      <c r="H372">
        <v>220</v>
      </c>
      <c r="I372">
        <v>220</v>
      </c>
      <c r="J372">
        <v>110.41</v>
      </c>
      <c r="K372">
        <v>109.59</v>
      </c>
      <c r="L372" t="s">
        <v>18</v>
      </c>
      <c r="M372" t="s">
        <v>26</v>
      </c>
      <c r="N372" t="str">
        <f>TEXT(SalesData[[#This Row],[Order Date]],"MMM-YYYY")</f>
        <v>May-2024</v>
      </c>
      <c r="O372" s="2">
        <f>SalesData[[#This Row],[Profit]]/SalesData[[#This Row],[Sales]]</f>
        <v>0.49813636363636365</v>
      </c>
    </row>
    <row r="373" spans="1:15" x14ac:dyDescent="0.25">
      <c r="A373" t="s">
        <v>410</v>
      </c>
      <c r="B373" s="1">
        <v>45533</v>
      </c>
      <c r="C373" t="s">
        <v>21</v>
      </c>
      <c r="D373" t="s">
        <v>42</v>
      </c>
      <c r="E373" t="s">
        <v>16</v>
      </c>
      <c r="F373" t="s">
        <v>29</v>
      </c>
      <c r="G373">
        <v>9</v>
      </c>
      <c r="H373">
        <v>312</v>
      </c>
      <c r="I373">
        <v>2808</v>
      </c>
      <c r="J373">
        <v>1443.5</v>
      </c>
      <c r="K373">
        <v>1364.5</v>
      </c>
      <c r="L373" t="s">
        <v>18</v>
      </c>
      <c r="M373" t="s">
        <v>30</v>
      </c>
      <c r="N373" t="str">
        <f>TEXT(SalesData[[#This Row],[Order Date]],"MMM-YYYY")</f>
        <v>Aug-2024</v>
      </c>
      <c r="O373" s="2">
        <f>SalesData[[#This Row],[Profit]]/SalesData[[#This Row],[Sales]]</f>
        <v>0.48593304843304841</v>
      </c>
    </row>
    <row r="374" spans="1:15" x14ac:dyDescent="0.25">
      <c r="A374" t="s">
        <v>411</v>
      </c>
      <c r="B374" s="1">
        <v>45534</v>
      </c>
      <c r="C374" t="s">
        <v>41</v>
      </c>
      <c r="D374" t="s">
        <v>22</v>
      </c>
      <c r="E374" t="s">
        <v>23</v>
      </c>
      <c r="F374" t="s">
        <v>43</v>
      </c>
      <c r="G374">
        <v>2</v>
      </c>
      <c r="H374">
        <v>123</v>
      </c>
      <c r="I374">
        <v>246</v>
      </c>
      <c r="J374">
        <v>131.62</v>
      </c>
      <c r="K374">
        <v>114.38</v>
      </c>
      <c r="L374" t="s">
        <v>25</v>
      </c>
      <c r="M374" t="s">
        <v>26</v>
      </c>
      <c r="N374" t="str">
        <f>TEXT(SalesData[[#This Row],[Order Date]],"MMM-YYYY")</f>
        <v>Aug-2024</v>
      </c>
      <c r="O374" s="2">
        <f>SalesData[[#This Row],[Profit]]/SalesData[[#This Row],[Sales]]</f>
        <v>0.46495934959349594</v>
      </c>
    </row>
    <row r="375" spans="1:15" x14ac:dyDescent="0.25">
      <c r="A375" t="s">
        <v>412</v>
      </c>
      <c r="B375" s="1">
        <v>45410</v>
      </c>
      <c r="C375" t="s">
        <v>41</v>
      </c>
      <c r="D375" t="s">
        <v>22</v>
      </c>
      <c r="E375" t="s">
        <v>34</v>
      </c>
      <c r="F375" t="s">
        <v>53</v>
      </c>
      <c r="G375">
        <v>3</v>
      </c>
      <c r="H375">
        <v>632</v>
      </c>
      <c r="I375">
        <v>1896</v>
      </c>
      <c r="J375">
        <v>1055.48</v>
      </c>
      <c r="K375">
        <v>840.52</v>
      </c>
      <c r="L375" t="s">
        <v>25</v>
      </c>
      <c r="M375" t="s">
        <v>19</v>
      </c>
      <c r="N375" t="str">
        <f>TEXT(SalesData[[#This Row],[Order Date]],"MMM-YYYY")</f>
        <v>Apr-2024</v>
      </c>
      <c r="O375" s="2">
        <f>SalesData[[#This Row],[Profit]]/SalesData[[#This Row],[Sales]]</f>
        <v>0.44331223628691985</v>
      </c>
    </row>
    <row r="376" spans="1:15" x14ac:dyDescent="0.25">
      <c r="A376" t="s">
        <v>413</v>
      </c>
      <c r="B376" s="1">
        <v>45591</v>
      </c>
      <c r="C376" t="s">
        <v>41</v>
      </c>
      <c r="D376" t="s">
        <v>22</v>
      </c>
      <c r="E376" t="s">
        <v>16</v>
      </c>
      <c r="F376" t="s">
        <v>17</v>
      </c>
      <c r="G376">
        <v>9</v>
      </c>
      <c r="H376">
        <v>967</v>
      </c>
      <c r="I376">
        <v>8703</v>
      </c>
      <c r="J376">
        <v>6837.73</v>
      </c>
      <c r="K376">
        <v>1865.27</v>
      </c>
      <c r="L376" t="s">
        <v>25</v>
      </c>
      <c r="M376" t="s">
        <v>26</v>
      </c>
      <c r="N376" t="str">
        <f>TEXT(SalesData[[#This Row],[Order Date]],"MMM-YYYY")</f>
        <v>Oct-2024</v>
      </c>
      <c r="O376" s="2">
        <f>SalesData[[#This Row],[Profit]]/SalesData[[#This Row],[Sales]]</f>
        <v>0.21432494542111916</v>
      </c>
    </row>
    <row r="377" spans="1:15" x14ac:dyDescent="0.25">
      <c r="A377" t="s">
        <v>414</v>
      </c>
      <c r="B377" s="1">
        <v>45581</v>
      </c>
      <c r="C377" t="s">
        <v>41</v>
      </c>
      <c r="D377" t="s">
        <v>42</v>
      </c>
      <c r="E377" t="s">
        <v>16</v>
      </c>
      <c r="F377" t="s">
        <v>17</v>
      </c>
      <c r="G377">
        <v>4</v>
      </c>
      <c r="H377">
        <v>479</v>
      </c>
      <c r="I377">
        <v>1916</v>
      </c>
      <c r="J377">
        <v>1214.03</v>
      </c>
      <c r="K377">
        <v>701.97</v>
      </c>
      <c r="L377" t="s">
        <v>18</v>
      </c>
      <c r="M377" t="s">
        <v>30</v>
      </c>
      <c r="N377" t="str">
        <f>TEXT(SalesData[[#This Row],[Order Date]],"MMM-YYYY")</f>
        <v>Oct-2024</v>
      </c>
      <c r="O377" s="2">
        <f>SalesData[[#This Row],[Profit]]/SalesData[[#This Row],[Sales]]</f>
        <v>0.36637265135699376</v>
      </c>
    </row>
    <row r="378" spans="1:15" x14ac:dyDescent="0.25">
      <c r="A378" t="s">
        <v>415</v>
      </c>
      <c r="B378" s="1">
        <v>45304</v>
      </c>
      <c r="C378" t="s">
        <v>41</v>
      </c>
      <c r="D378" t="s">
        <v>42</v>
      </c>
      <c r="E378" t="s">
        <v>16</v>
      </c>
      <c r="F378" t="s">
        <v>29</v>
      </c>
      <c r="G378">
        <v>6</v>
      </c>
      <c r="H378">
        <v>809</v>
      </c>
      <c r="I378">
        <v>4854</v>
      </c>
      <c r="J378">
        <v>3583.7</v>
      </c>
      <c r="K378">
        <v>1270.3</v>
      </c>
      <c r="L378" t="s">
        <v>25</v>
      </c>
      <c r="M378" t="s">
        <v>19</v>
      </c>
      <c r="N378" t="str">
        <f>TEXT(SalesData[[#This Row],[Order Date]],"MMM-YYYY")</f>
        <v>Jan-2024</v>
      </c>
      <c r="O378" s="2">
        <f>SalesData[[#This Row],[Profit]]/SalesData[[#This Row],[Sales]]</f>
        <v>0.26170168932838894</v>
      </c>
    </row>
    <row r="379" spans="1:15" x14ac:dyDescent="0.25">
      <c r="A379" t="s">
        <v>416</v>
      </c>
      <c r="B379" s="1">
        <v>45589</v>
      </c>
      <c r="C379" t="s">
        <v>14</v>
      </c>
      <c r="D379" t="s">
        <v>15</v>
      </c>
      <c r="E379" t="s">
        <v>34</v>
      </c>
      <c r="F379" t="s">
        <v>47</v>
      </c>
      <c r="G379">
        <v>4</v>
      </c>
      <c r="H379">
        <v>934</v>
      </c>
      <c r="I379">
        <v>3736</v>
      </c>
      <c r="J379">
        <v>2287.9299999999998</v>
      </c>
      <c r="K379">
        <v>1448.07</v>
      </c>
      <c r="L379" t="s">
        <v>25</v>
      </c>
      <c r="M379" t="s">
        <v>44</v>
      </c>
      <c r="N379" t="str">
        <f>TEXT(SalesData[[#This Row],[Order Date]],"MMM-YYYY")</f>
        <v>Oct-2024</v>
      </c>
      <c r="O379" s="2">
        <f>SalesData[[#This Row],[Profit]]/SalesData[[#This Row],[Sales]]</f>
        <v>0.3875990364025696</v>
      </c>
    </row>
    <row r="380" spans="1:15" x14ac:dyDescent="0.25">
      <c r="A380" t="s">
        <v>417</v>
      </c>
      <c r="B380" s="1">
        <v>45508</v>
      </c>
      <c r="C380" t="s">
        <v>21</v>
      </c>
      <c r="D380" t="s">
        <v>42</v>
      </c>
      <c r="E380" t="s">
        <v>16</v>
      </c>
      <c r="F380" t="s">
        <v>17</v>
      </c>
      <c r="G380">
        <v>8</v>
      </c>
      <c r="H380">
        <v>509</v>
      </c>
      <c r="I380">
        <v>4072</v>
      </c>
      <c r="J380">
        <v>3184.96</v>
      </c>
      <c r="K380">
        <v>887.04</v>
      </c>
      <c r="L380" t="s">
        <v>25</v>
      </c>
      <c r="M380" t="s">
        <v>26</v>
      </c>
      <c r="N380" t="str">
        <f>TEXT(SalesData[[#This Row],[Order Date]],"MMM-YYYY")</f>
        <v>Aug-2024</v>
      </c>
      <c r="O380" s="2">
        <f>SalesData[[#This Row],[Profit]]/SalesData[[#This Row],[Sales]]</f>
        <v>0.21783889980353632</v>
      </c>
    </row>
    <row r="381" spans="1:15" x14ac:dyDescent="0.25">
      <c r="A381" t="s">
        <v>418</v>
      </c>
      <c r="B381" s="1">
        <v>45571</v>
      </c>
      <c r="C381" t="s">
        <v>38</v>
      </c>
      <c r="D381" t="s">
        <v>15</v>
      </c>
      <c r="E381" t="s">
        <v>23</v>
      </c>
      <c r="F381" t="s">
        <v>24</v>
      </c>
      <c r="G381">
        <v>3</v>
      </c>
      <c r="H381">
        <v>621</v>
      </c>
      <c r="I381">
        <v>1863</v>
      </c>
      <c r="J381">
        <v>1352.51</v>
      </c>
      <c r="K381">
        <v>510.49</v>
      </c>
      <c r="L381" t="s">
        <v>25</v>
      </c>
      <c r="M381" t="s">
        <v>44</v>
      </c>
      <c r="N381" t="str">
        <f>TEXT(SalesData[[#This Row],[Order Date]],"MMM-YYYY")</f>
        <v>Oct-2024</v>
      </c>
      <c r="O381" s="2">
        <f>SalesData[[#This Row],[Profit]]/SalesData[[#This Row],[Sales]]</f>
        <v>0.27401502952227591</v>
      </c>
    </row>
    <row r="382" spans="1:15" x14ac:dyDescent="0.25">
      <c r="A382" t="s">
        <v>419</v>
      </c>
      <c r="B382" s="1">
        <v>45445</v>
      </c>
      <c r="C382" t="s">
        <v>41</v>
      </c>
      <c r="D382" t="s">
        <v>28</v>
      </c>
      <c r="E382" t="s">
        <v>16</v>
      </c>
      <c r="F382" t="s">
        <v>64</v>
      </c>
      <c r="G382">
        <v>10</v>
      </c>
      <c r="H382">
        <v>498</v>
      </c>
      <c r="I382">
        <v>4980</v>
      </c>
      <c r="J382">
        <v>3611.61</v>
      </c>
      <c r="K382">
        <v>1368.39</v>
      </c>
      <c r="L382" t="s">
        <v>25</v>
      </c>
      <c r="M382" t="s">
        <v>44</v>
      </c>
      <c r="N382" t="str">
        <f>TEXT(SalesData[[#This Row],[Order Date]],"MMM-YYYY")</f>
        <v>Jun-2024</v>
      </c>
      <c r="O382" s="2">
        <f>SalesData[[#This Row],[Profit]]/SalesData[[#This Row],[Sales]]</f>
        <v>0.27477710843373498</v>
      </c>
    </row>
    <row r="383" spans="1:15" x14ac:dyDescent="0.25">
      <c r="A383" t="s">
        <v>420</v>
      </c>
      <c r="B383" s="1">
        <v>45508</v>
      </c>
      <c r="C383" t="s">
        <v>21</v>
      </c>
      <c r="D383" t="s">
        <v>22</v>
      </c>
      <c r="E383" t="s">
        <v>23</v>
      </c>
      <c r="F383" t="s">
        <v>43</v>
      </c>
      <c r="G383">
        <v>10</v>
      </c>
      <c r="H383">
        <v>597</v>
      </c>
      <c r="I383">
        <v>5970</v>
      </c>
      <c r="J383">
        <v>3415.95</v>
      </c>
      <c r="K383">
        <v>2554.0500000000002</v>
      </c>
      <c r="L383" t="s">
        <v>18</v>
      </c>
      <c r="M383" t="s">
        <v>19</v>
      </c>
      <c r="N383" t="str">
        <f>TEXT(SalesData[[#This Row],[Order Date]],"MMM-YYYY")</f>
        <v>Aug-2024</v>
      </c>
      <c r="O383" s="2">
        <f>SalesData[[#This Row],[Profit]]/SalesData[[#This Row],[Sales]]</f>
        <v>0.42781407035175884</v>
      </c>
    </row>
    <row r="384" spans="1:15" x14ac:dyDescent="0.25">
      <c r="A384" t="s">
        <v>421</v>
      </c>
      <c r="B384" s="1">
        <v>45433</v>
      </c>
      <c r="C384" t="s">
        <v>41</v>
      </c>
      <c r="D384" t="s">
        <v>22</v>
      </c>
      <c r="E384" t="s">
        <v>34</v>
      </c>
      <c r="F384" t="s">
        <v>35</v>
      </c>
      <c r="G384">
        <v>6</v>
      </c>
      <c r="H384">
        <v>228</v>
      </c>
      <c r="I384">
        <v>1368</v>
      </c>
      <c r="J384">
        <v>708.94</v>
      </c>
      <c r="K384">
        <v>659.06</v>
      </c>
      <c r="L384" t="s">
        <v>25</v>
      </c>
      <c r="M384" t="s">
        <v>26</v>
      </c>
      <c r="N384" t="str">
        <f>TEXT(SalesData[[#This Row],[Order Date]],"MMM-YYYY")</f>
        <v>May-2024</v>
      </c>
      <c r="O384" s="2">
        <f>SalesData[[#This Row],[Profit]]/SalesData[[#This Row],[Sales]]</f>
        <v>0.48176900584795318</v>
      </c>
    </row>
    <row r="385" spans="1:15" x14ac:dyDescent="0.25">
      <c r="A385" t="s">
        <v>422</v>
      </c>
      <c r="B385" s="1">
        <v>45327</v>
      </c>
      <c r="C385" t="s">
        <v>38</v>
      </c>
      <c r="D385" t="s">
        <v>42</v>
      </c>
      <c r="E385" t="s">
        <v>23</v>
      </c>
      <c r="F385" t="s">
        <v>24</v>
      </c>
      <c r="G385">
        <v>3</v>
      </c>
      <c r="H385">
        <v>537</v>
      </c>
      <c r="I385">
        <v>1611</v>
      </c>
      <c r="J385">
        <v>1147.5999999999999</v>
      </c>
      <c r="K385">
        <v>463.4</v>
      </c>
      <c r="L385" t="s">
        <v>25</v>
      </c>
      <c r="M385" t="s">
        <v>19</v>
      </c>
      <c r="N385" t="str">
        <f>TEXT(SalesData[[#This Row],[Order Date]],"MMM-YYYY")</f>
        <v>Feb-2024</v>
      </c>
      <c r="O385" s="2">
        <f>SalesData[[#This Row],[Profit]]/SalesData[[#This Row],[Sales]]</f>
        <v>0.2876474239602731</v>
      </c>
    </row>
    <row r="386" spans="1:15" x14ac:dyDescent="0.25">
      <c r="A386" t="s">
        <v>423</v>
      </c>
      <c r="B386" s="1">
        <v>45421</v>
      </c>
      <c r="C386" t="s">
        <v>21</v>
      </c>
      <c r="D386" t="s">
        <v>22</v>
      </c>
      <c r="E386" t="s">
        <v>23</v>
      </c>
      <c r="F386" t="s">
        <v>24</v>
      </c>
      <c r="G386">
        <v>9</v>
      </c>
      <c r="H386">
        <v>607</v>
      </c>
      <c r="I386">
        <v>5463</v>
      </c>
      <c r="J386">
        <v>4111.03</v>
      </c>
      <c r="K386">
        <v>1351.97</v>
      </c>
      <c r="L386" t="s">
        <v>18</v>
      </c>
      <c r="M386" t="s">
        <v>44</v>
      </c>
      <c r="N386" t="str">
        <f>TEXT(SalesData[[#This Row],[Order Date]],"MMM-YYYY")</f>
        <v>May-2024</v>
      </c>
      <c r="O386" s="2">
        <f>SalesData[[#This Row],[Profit]]/SalesData[[#This Row],[Sales]]</f>
        <v>0.24747757642321069</v>
      </c>
    </row>
    <row r="387" spans="1:15" x14ac:dyDescent="0.25">
      <c r="A387" t="s">
        <v>424</v>
      </c>
      <c r="B387" s="1">
        <v>45390</v>
      </c>
      <c r="C387" t="s">
        <v>41</v>
      </c>
      <c r="D387" t="s">
        <v>28</v>
      </c>
      <c r="E387" t="s">
        <v>16</v>
      </c>
      <c r="F387" t="s">
        <v>17</v>
      </c>
      <c r="G387">
        <v>5</v>
      </c>
      <c r="H387">
        <v>62</v>
      </c>
      <c r="I387">
        <v>310</v>
      </c>
      <c r="J387">
        <v>158.85</v>
      </c>
      <c r="K387">
        <v>151.15</v>
      </c>
      <c r="L387" t="s">
        <v>18</v>
      </c>
      <c r="M387" t="s">
        <v>26</v>
      </c>
      <c r="N387" t="str">
        <f>TEXT(SalesData[[#This Row],[Order Date]],"MMM-YYYY")</f>
        <v>Apr-2024</v>
      </c>
      <c r="O387" s="2">
        <f>SalesData[[#This Row],[Profit]]/SalesData[[#This Row],[Sales]]</f>
        <v>0.48758064516129035</v>
      </c>
    </row>
    <row r="388" spans="1:15" x14ac:dyDescent="0.25">
      <c r="A388" t="s">
        <v>425</v>
      </c>
      <c r="B388" s="1">
        <v>45333</v>
      </c>
      <c r="C388" t="s">
        <v>38</v>
      </c>
      <c r="D388" t="s">
        <v>42</v>
      </c>
      <c r="E388" t="s">
        <v>23</v>
      </c>
      <c r="F388" t="s">
        <v>39</v>
      </c>
      <c r="G388">
        <v>6</v>
      </c>
      <c r="H388">
        <v>322</v>
      </c>
      <c r="I388">
        <v>1932</v>
      </c>
      <c r="J388">
        <v>1261.4000000000001</v>
      </c>
      <c r="K388">
        <v>670.6</v>
      </c>
      <c r="L388" t="s">
        <v>18</v>
      </c>
      <c r="M388" t="s">
        <v>30</v>
      </c>
      <c r="N388" t="str">
        <f>TEXT(SalesData[[#This Row],[Order Date]],"MMM-YYYY")</f>
        <v>Feb-2024</v>
      </c>
      <c r="O388" s="2">
        <f>SalesData[[#This Row],[Profit]]/SalesData[[#This Row],[Sales]]</f>
        <v>0.34710144927536235</v>
      </c>
    </row>
    <row r="389" spans="1:15" x14ac:dyDescent="0.25">
      <c r="A389" t="s">
        <v>426</v>
      </c>
      <c r="B389" s="1">
        <v>45449</v>
      </c>
      <c r="C389" t="s">
        <v>38</v>
      </c>
      <c r="D389" t="s">
        <v>15</v>
      </c>
      <c r="E389" t="s">
        <v>16</v>
      </c>
      <c r="F389" t="s">
        <v>17</v>
      </c>
      <c r="G389">
        <v>9</v>
      </c>
      <c r="H389">
        <v>477</v>
      </c>
      <c r="I389">
        <v>4293</v>
      </c>
      <c r="J389">
        <v>2269.67</v>
      </c>
      <c r="K389">
        <v>2023.33</v>
      </c>
      <c r="L389" t="s">
        <v>18</v>
      </c>
      <c r="M389" t="s">
        <v>26</v>
      </c>
      <c r="N389" t="str">
        <f>TEXT(SalesData[[#This Row],[Order Date]],"MMM-YYYY")</f>
        <v>Jun-2024</v>
      </c>
      <c r="O389" s="2">
        <f>SalesData[[#This Row],[Profit]]/SalesData[[#This Row],[Sales]]</f>
        <v>0.47130910784998836</v>
      </c>
    </row>
    <row r="390" spans="1:15" x14ac:dyDescent="0.25">
      <c r="A390" t="s">
        <v>427</v>
      </c>
      <c r="B390" s="1">
        <v>45573</v>
      </c>
      <c r="C390" t="s">
        <v>41</v>
      </c>
      <c r="D390" t="s">
        <v>22</v>
      </c>
      <c r="E390" t="s">
        <v>34</v>
      </c>
      <c r="F390" t="s">
        <v>35</v>
      </c>
      <c r="G390">
        <v>6</v>
      </c>
      <c r="H390">
        <v>488</v>
      </c>
      <c r="I390">
        <v>2928</v>
      </c>
      <c r="J390">
        <v>2316.41</v>
      </c>
      <c r="K390">
        <v>611.59</v>
      </c>
      <c r="L390" t="s">
        <v>25</v>
      </c>
      <c r="M390" t="s">
        <v>30</v>
      </c>
      <c r="N390" t="str">
        <f>TEXT(SalesData[[#This Row],[Order Date]],"MMM-YYYY")</f>
        <v>Oct-2024</v>
      </c>
      <c r="O390" s="2">
        <f>SalesData[[#This Row],[Profit]]/SalesData[[#This Row],[Sales]]</f>
        <v>0.20887636612021859</v>
      </c>
    </row>
    <row r="391" spans="1:15" x14ac:dyDescent="0.25">
      <c r="A391" t="s">
        <v>428</v>
      </c>
      <c r="B391" s="1">
        <v>45521</v>
      </c>
      <c r="C391" t="s">
        <v>38</v>
      </c>
      <c r="D391" t="s">
        <v>42</v>
      </c>
      <c r="E391" t="s">
        <v>16</v>
      </c>
      <c r="F391" t="s">
        <v>64</v>
      </c>
      <c r="G391">
        <v>5</v>
      </c>
      <c r="H391">
        <v>602</v>
      </c>
      <c r="I391">
        <v>3010</v>
      </c>
      <c r="J391">
        <v>1802</v>
      </c>
      <c r="K391">
        <v>1208</v>
      </c>
      <c r="L391" t="s">
        <v>18</v>
      </c>
      <c r="M391" t="s">
        <v>30</v>
      </c>
      <c r="N391" t="str">
        <f>TEXT(SalesData[[#This Row],[Order Date]],"MMM-YYYY")</f>
        <v>Aug-2024</v>
      </c>
      <c r="O391" s="2">
        <f>SalesData[[#This Row],[Profit]]/SalesData[[#This Row],[Sales]]</f>
        <v>0.40132890365448504</v>
      </c>
    </row>
    <row r="392" spans="1:15" x14ac:dyDescent="0.25">
      <c r="A392" t="s">
        <v>429</v>
      </c>
      <c r="B392" s="1">
        <v>45380</v>
      </c>
      <c r="C392" t="s">
        <v>38</v>
      </c>
      <c r="D392" t="s">
        <v>22</v>
      </c>
      <c r="E392" t="s">
        <v>16</v>
      </c>
      <c r="F392" t="s">
        <v>17</v>
      </c>
      <c r="G392">
        <v>4</v>
      </c>
      <c r="H392">
        <v>865</v>
      </c>
      <c r="I392">
        <v>3460</v>
      </c>
      <c r="J392">
        <v>2406.67</v>
      </c>
      <c r="K392">
        <v>1053.33</v>
      </c>
      <c r="L392" t="s">
        <v>18</v>
      </c>
      <c r="M392" t="s">
        <v>44</v>
      </c>
      <c r="N392" t="str">
        <f>TEXT(SalesData[[#This Row],[Order Date]],"MMM-YYYY")</f>
        <v>Mar-2024</v>
      </c>
      <c r="O392" s="2">
        <f>SalesData[[#This Row],[Profit]]/SalesData[[#This Row],[Sales]]</f>
        <v>0.30443063583815028</v>
      </c>
    </row>
    <row r="393" spans="1:15" x14ac:dyDescent="0.25">
      <c r="A393" t="s">
        <v>430</v>
      </c>
      <c r="B393" s="1">
        <v>45304</v>
      </c>
      <c r="C393" t="s">
        <v>14</v>
      </c>
      <c r="D393" t="s">
        <v>42</v>
      </c>
      <c r="E393" t="s">
        <v>16</v>
      </c>
      <c r="F393" t="s">
        <v>17</v>
      </c>
      <c r="G393">
        <v>8</v>
      </c>
      <c r="H393">
        <v>62</v>
      </c>
      <c r="I393">
        <v>496</v>
      </c>
      <c r="J393">
        <v>394.99</v>
      </c>
      <c r="K393">
        <v>101.01</v>
      </c>
      <c r="L393" t="s">
        <v>25</v>
      </c>
      <c r="M393" t="s">
        <v>19</v>
      </c>
      <c r="N393" t="str">
        <f>TEXT(SalesData[[#This Row],[Order Date]],"MMM-YYYY")</f>
        <v>Jan-2024</v>
      </c>
      <c r="O393" s="2">
        <f>SalesData[[#This Row],[Profit]]/SalesData[[#This Row],[Sales]]</f>
        <v>0.20364919354838712</v>
      </c>
    </row>
    <row r="394" spans="1:15" x14ac:dyDescent="0.25">
      <c r="A394" t="s">
        <v>431</v>
      </c>
      <c r="B394" s="1">
        <v>45405</v>
      </c>
      <c r="C394" t="s">
        <v>21</v>
      </c>
      <c r="D394" t="s">
        <v>22</v>
      </c>
      <c r="E394" t="s">
        <v>23</v>
      </c>
      <c r="F394" t="s">
        <v>39</v>
      </c>
      <c r="G394">
        <v>5</v>
      </c>
      <c r="H394">
        <v>100</v>
      </c>
      <c r="I394">
        <v>500</v>
      </c>
      <c r="J394">
        <v>265.88</v>
      </c>
      <c r="K394">
        <v>234.12</v>
      </c>
      <c r="L394" t="s">
        <v>18</v>
      </c>
      <c r="M394" t="s">
        <v>44</v>
      </c>
      <c r="N394" t="str">
        <f>TEXT(SalesData[[#This Row],[Order Date]],"MMM-YYYY")</f>
        <v>Apr-2024</v>
      </c>
      <c r="O394" s="2">
        <f>SalesData[[#This Row],[Profit]]/SalesData[[#This Row],[Sales]]</f>
        <v>0.46823999999999999</v>
      </c>
    </row>
    <row r="395" spans="1:15" x14ac:dyDescent="0.25">
      <c r="A395" t="s">
        <v>432</v>
      </c>
      <c r="B395" s="1">
        <v>45356</v>
      </c>
      <c r="C395" t="s">
        <v>14</v>
      </c>
      <c r="D395" t="s">
        <v>28</v>
      </c>
      <c r="E395" t="s">
        <v>23</v>
      </c>
      <c r="F395" t="s">
        <v>24</v>
      </c>
      <c r="G395">
        <v>6</v>
      </c>
      <c r="H395">
        <v>770</v>
      </c>
      <c r="I395">
        <v>4620</v>
      </c>
      <c r="J395">
        <v>2331.84</v>
      </c>
      <c r="K395">
        <v>2288.16</v>
      </c>
      <c r="L395" t="s">
        <v>25</v>
      </c>
      <c r="M395" t="s">
        <v>44</v>
      </c>
      <c r="N395" t="str">
        <f>TEXT(SalesData[[#This Row],[Order Date]],"MMM-YYYY")</f>
        <v>Mar-2024</v>
      </c>
      <c r="O395" s="2">
        <f>SalesData[[#This Row],[Profit]]/SalesData[[#This Row],[Sales]]</f>
        <v>0.49527272727272725</v>
      </c>
    </row>
    <row r="396" spans="1:15" x14ac:dyDescent="0.25">
      <c r="A396" t="s">
        <v>433</v>
      </c>
      <c r="B396" s="1">
        <v>45564</v>
      </c>
      <c r="C396" t="s">
        <v>21</v>
      </c>
      <c r="D396" t="s">
        <v>42</v>
      </c>
      <c r="E396" t="s">
        <v>34</v>
      </c>
      <c r="F396" t="s">
        <v>47</v>
      </c>
      <c r="G396">
        <v>3</v>
      </c>
      <c r="H396">
        <v>565</v>
      </c>
      <c r="I396">
        <v>1695</v>
      </c>
      <c r="J396">
        <v>1225.01</v>
      </c>
      <c r="K396">
        <v>469.99</v>
      </c>
      <c r="L396" t="s">
        <v>25</v>
      </c>
      <c r="M396" t="s">
        <v>44</v>
      </c>
      <c r="N396" t="str">
        <f>TEXT(SalesData[[#This Row],[Order Date]],"MMM-YYYY")</f>
        <v>Sep-2024</v>
      </c>
      <c r="O396" s="2">
        <f>SalesData[[#This Row],[Profit]]/SalesData[[#This Row],[Sales]]</f>
        <v>0.27728023598820062</v>
      </c>
    </row>
    <row r="397" spans="1:15" x14ac:dyDescent="0.25">
      <c r="A397" t="s">
        <v>434</v>
      </c>
      <c r="B397" s="1">
        <v>45312</v>
      </c>
      <c r="C397" t="s">
        <v>38</v>
      </c>
      <c r="D397" t="s">
        <v>28</v>
      </c>
      <c r="E397" t="s">
        <v>16</v>
      </c>
      <c r="F397" t="s">
        <v>29</v>
      </c>
      <c r="G397">
        <v>3</v>
      </c>
      <c r="H397">
        <v>555</v>
      </c>
      <c r="I397">
        <v>1665</v>
      </c>
      <c r="J397">
        <v>985.17</v>
      </c>
      <c r="K397">
        <v>679.83</v>
      </c>
      <c r="L397" t="s">
        <v>18</v>
      </c>
      <c r="M397" t="s">
        <v>19</v>
      </c>
      <c r="N397" t="str">
        <f>TEXT(SalesData[[#This Row],[Order Date]],"MMM-YYYY")</f>
        <v>Jan-2024</v>
      </c>
      <c r="O397" s="2">
        <f>SalesData[[#This Row],[Profit]]/SalesData[[#This Row],[Sales]]</f>
        <v>0.40830630630630632</v>
      </c>
    </row>
    <row r="398" spans="1:15" x14ac:dyDescent="0.25">
      <c r="A398" t="s">
        <v>435</v>
      </c>
      <c r="B398" s="1">
        <v>45316</v>
      </c>
      <c r="C398" t="s">
        <v>21</v>
      </c>
      <c r="D398" t="s">
        <v>15</v>
      </c>
      <c r="E398" t="s">
        <v>34</v>
      </c>
      <c r="F398" t="s">
        <v>53</v>
      </c>
      <c r="G398">
        <v>3</v>
      </c>
      <c r="H398">
        <v>424</v>
      </c>
      <c r="I398">
        <v>1272</v>
      </c>
      <c r="J398">
        <v>864.74</v>
      </c>
      <c r="K398">
        <v>407.26</v>
      </c>
      <c r="L398" t="s">
        <v>18</v>
      </c>
      <c r="M398" t="s">
        <v>26</v>
      </c>
      <c r="N398" t="str">
        <f>TEXT(SalesData[[#This Row],[Order Date]],"MMM-YYYY")</f>
        <v>Jan-2024</v>
      </c>
      <c r="O398" s="2">
        <f>SalesData[[#This Row],[Profit]]/SalesData[[#This Row],[Sales]]</f>
        <v>0.32017295597484274</v>
      </c>
    </row>
    <row r="399" spans="1:15" x14ac:dyDescent="0.25">
      <c r="A399" t="s">
        <v>436</v>
      </c>
      <c r="B399" s="1">
        <v>45327</v>
      </c>
      <c r="C399" t="s">
        <v>41</v>
      </c>
      <c r="D399" t="s">
        <v>42</v>
      </c>
      <c r="E399" t="s">
        <v>23</v>
      </c>
      <c r="F399" t="s">
        <v>43</v>
      </c>
      <c r="G399">
        <v>3</v>
      </c>
      <c r="H399">
        <v>112</v>
      </c>
      <c r="I399">
        <v>336</v>
      </c>
      <c r="J399">
        <v>237.64</v>
      </c>
      <c r="K399">
        <v>98.36</v>
      </c>
      <c r="L399" t="s">
        <v>18</v>
      </c>
      <c r="M399" t="s">
        <v>26</v>
      </c>
      <c r="N399" t="str">
        <f>TEXT(SalesData[[#This Row],[Order Date]],"MMM-YYYY")</f>
        <v>Feb-2024</v>
      </c>
      <c r="O399" s="2">
        <f>SalesData[[#This Row],[Profit]]/SalesData[[#This Row],[Sales]]</f>
        <v>0.29273809523809524</v>
      </c>
    </row>
    <row r="400" spans="1:15" x14ac:dyDescent="0.25">
      <c r="A400" t="s">
        <v>437</v>
      </c>
      <c r="B400" s="1">
        <v>45383</v>
      </c>
      <c r="C400" t="s">
        <v>41</v>
      </c>
      <c r="D400" t="s">
        <v>42</v>
      </c>
      <c r="E400" t="s">
        <v>34</v>
      </c>
      <c r="F400" t="s">
        <v>35</v>
      </c>
      <c r="G400">
        <v>3</v>
      </c>
      <c r="H400">
        <v>677</v>
      </c>
      <c r="I400">
        <v>2031</v>
      </c>
      <c r="J400">
        <v>1554.49</v>
      </c>
      <c r="K400">
        <v>476.51</v>
      </c>
      <c r="L400" t="s">
        <v>18</v>
      </c>
      <c r="M400" t="s">
        <v>44</v>
      </c>
      <c r="N400" t="str">
        <f>TEXT(SalesData[[#This Row],[Order Date]],"MMM-YYYY")</f>
        <v>Apr-2024</v>
      </c>
      <c r="O400" s="2">
        <f>SalesData[[#This Row],[Profit]]/SalesData[[#This Row],[Sales]]</f>
        <v>0.23461841457410143</v>
      </c>
    </row>
    <row r="401" spans="1:15" x14ac:dyDescent="0.25">
      <c r="A401" t="s">
        <v>438</v>
      </c>
      <c r="B401" s="1">
        <v>45580</v>
      </c>
      <c r="C401" t="s">
        <v>41</v>
      </c>
      <c r="D401" t="s">
        <v>42</v>
      </c>
      <c r="E401" t="s">
        <v>34</v>
      </c>
      <c r="F401" t="s">
        <v>53</v>
      </c>
      <c r="G401">
        <v>6</v>
      </c>
      <c r="H401">
        <v>58</v>
      </c>
      <c r="I401">
        <v>348</v>
      </c>
      <c r="J401">
        <v>187.19</v>
      </c>
      <c r="K401">
        <v>160.81</v>
      </c>
      <c r="L401" t="s">
        <v>18</v>
      </c>
      <c r="M401" t="s">
        <v>26</v>
      </c>
      <c r="N401" t="str">
        <f>TEXT(SalesData[[#This Row],[Order Date]],"MMM-YYYY")</f>
        <v>Oct-2024</v>
      </c>
      <c r="O401" s="2">
        <f>SalesData[[#This Row],[Profit]]/SalesData[[#This Row],[Sales]]</f>
        <v>0.46209770114942528</v>
      </c>
    </row>
    <row r="402" spans="1:15" x14ac:dyDescent="0.25">
      <c r="A402" t="s">
        <v>439</v>
      </c>
      <c r="B402" s="1">
        <v>45420</v>
      </c>
      <c r="C402" t="s">
        <v>14</v>
      </c>
      <c r="D402" t="s">
        <v>15</v>
      </c>
      <c r="E402" t="s">
        <v>23</v>
      </c>
      <c r="F402" t="s">
        <v>39</v>
      </c>
      <c r="G402">
        <v>7</v>
      </c>
      <c r="H402">
        <v>679</v>
      </c>
      <c r="I402">
        <v>4753</v>
      </c>
      <c r="J402">
        <v>3300.45</v>
      </c>
      <c r="K402">
        <v>1452.55</v>
      </c>
      <c r="L402" t="s">
        <v>18</v>
      </c>
      <c r="M402" t="s">
        <v>19</v>
      </c>
      <c r="N402" t="str">
        <f>TEXT(SalesData[[#This Row],[Order Date]],"MMM-YYYY")</f>
        <v>May-2024</v>
      </c>
      <c r="O402" s="2">
        <f>SalesData[[#This Row],[Profit]]/SalesData[[#This Row],[Sales]]</f>
        <v>0.30560698506206607</v>
      </c>
    </row>
    <row r="403" spans="1:15" x14ac:dyDescent="0.25">
      <c r="A403" t="s">
        <v>440</v>
      </c>
      <c r="B403" s="1">
        <v>45322</v>
      </c>
      <c r="C403" t="s">
        <v>38</v>
      </c>
      <c r="D403" t="s">
        <v>15</v>
      </c>
      <c r="E403" t="s">
        <v>34</v>
      </c>
      <c r="F403" t="s">
        <v>47</v>
      </c>
      <c r="G403">
        <v>8</v>
      </c>
      <c r="H403">
        <v>270</v>
      </c>
      <c r="I403">
        <v>2160</v>
      </c>
      <c r="J403">
        <v>1427</v>
      </c>
      <c r="K403">
        <v>733</v>
      </c>
      <c r="L403" t="s">
        <v>18</v>
      </c>
      <c r="M403" t="s">
        <v>26</v>
      </c>
      <c r="N403" t="str">
        <f>TEXT(SalesData[[#This Row],[Order Date]],"MMM-YYYY")</f>
        <v>Jan-2024</v>
      </c>
      <c r="O403" s="2">
        <f>SalesData[[#This Row],[Profit]]/SalesData[[#This Row],[Sales]]</f>
        <v>0.33935185185185185</v>
      </c>
    </row>
    <row r="404" spans="1:15" x14ac:dyDescent="0.25">
      <c r="A404" t="s">
        <v>441</v>
      </c>
      <c r="B404" s="1">
        <v>45378</v>
      </c>
      <c r="C404" t="s">
        <v>21</v>
      </c>
      <c r="D404" t="s">
        <v>42</v>
      </c>
      <c r="E404" t="s">
        <v>16</v>
      </c>
      <c r="F404" t="s">
        <v>64</v>
      </c>
      <c r="G404">
        <v>7</v>
      </c>
      <c r="H404">
        <v>873</v>
      </c>
      <c r="I404">
        <v>6111</v>
      </c>
      <c r="J404">
        <v>4055.09</v>
      </c>
      <c r="K404">
        <v>2055.91</v>
      </c>
      <c r="L404" t="s">
        <v>18</v>
      </c>
      <c r="M404" t="s">
        <v>19</v>
      </c>
      <c r="N404" t="str">
        <f>TEXT(SalesData[[#This Row],[Order Date]],"MMM-YYYY")</f>
        <v>Mar-2024</v>
      </c>
      <c r="O404" s="2">
        <f>SalesData[[#This Row],[Profit]]/SalesData[[#This Row],[Sales]]</f>
        <v>0.3364277532318769</v>
      </c>
    </row>
    <row r="405" spans="1:15" x14ac:dyDescent="0.25">
      <c r="A405" t="s">
        <v>442</v>
      </c>
      <c r="B405" s="1">
        <v>45300</v>
      </c>
      <c r="C405" t="s">
        <v>38</v>
      </c>
      <c r="D405" t="s">
        <v>15</v>
      </c>
      <c r="E405" t="s">
        <v>16</v>
      </c>
      <c r="F405" t="s">
        <v>17</v>
      </c>
      <c r="G405">
        <v>4</v>
      </c>
      <c r="H405">
        <v>697</v>
      </c>
      <c r="I405">
        <v>2788</v>
      </c>
      <c r="J405">
        <v>1991.33</v>
      </c>
      <c r="K405">
        <v>796.67</v>
      </c>
      <c r="L405" t="s">
        <v>25</v>
      </c>
      <c r="M405" t="s">
        <v>44</v>
      </c>
      <c r="N405" t="str">
        <f>TEXT(SalesData[[#This Row],[Order Date]],"MMM-YYYY")</f>
        <v>Jan-2024</v>
      </c>
      <c r="O405" s="2">
        <f>SalesData[[#This Row],[Profit]]/SalesData[[#This Row],[Sales]]</f>
        <v>0.28574964131994257</v>
      </c>
    </row>
    <row r="406" spans="1:15" x14ac:dyDescent="0.25">
      <c r="A406" t="s">
        <v>443</v>
      </c>
      <c r="B406" s="1">
        <v>45334</v>
      </c>
      <c r="C406" t="s">
        <v>38</v>
      </c>
      <c r="D406" t="s">
        <v>22</v>
      </c>
      <c r="E406" t="s">
        <v>34</v>
      </c>
      <c r="F406" t="s">
        <v>47</v>
      </c>
      <c r="G406">
        <v>10</v>
      </c>
      <c r="H406">
        <v>807</v>
      </c>
      <c r="I406">
        <v>8070</v>
      </c>
      <c r="J406">
        <v>4411.17</v>
      </c>
      <c r="K406">
        <v>3658.83</v>
      </c>
      <c r="L406" t="s">
        <v>18</v>
      </c>
      <c r="M406" t="s">
        <v>19</v>
      </c>
      <c r="N406" t="str">
        <f>TEXT(SalesData[[#This Row],[Order Date]],"MMM-YYYY")</f>
        <v>Feb-2024</v>
      </c>
      <c r="O406" s="2">
        <f>SalesData[[#This Row],[Profit]]/SalesData[[#This Row],[Sales]]</f>
        <v>0.45338661710037176</v>
      </c>
    </row>
    <row r="407" spans="1:15" x14ac:dyDescent="0.25">
      <c r="A407" t="s">
        <v>444</v>
      </c>
      <c r="B407" s="1">
        <v>45455</v>
      </c>
      <c r="C407" t="s">
        <v>41</v>
      </c>
      <c r="D407" t="s">
        <v>15</v>
      </c>
      <c r="E407" t="s">
        <v>23</v>
      </c>
      <c r="F407" t="s">
        <v>43</v>
      </c>
      <c r="G407">
        <v>9</v>
      </c>
      <c r="H407">
        <v>107</v>
      </c>
      <c r="I407">
        <v>963</v>
      </c>
      <c r="J407">
        <v>531.97</v>
      </c>
      <c r="K407">
        <v>431.03</v>
      </c>
      <c r="L407" t="s">
        <v>25</v>
      </c>
      <c r="M407" t="s">
        <v>30</v>
      </c>
      <c r="N407" t="str">
        <f>TEXT(SalesData[[#This Row],[Order Date]],"MMM-YYYY")</f>
        <v>Jun-2024</v>
      </c>
      <c r="O407" s="2">
        <f>SalesData[[#This Row],[Profit]]/SalesData[[#This Row],[Sales]]</f>
        <v>0.44759086188992731</v>
      </c>
    </row>
    <row r="408" spans="1:15" x14ac:dyDescent="0.25">
      <c r="A408" t="s">
        <v>445</v>
      </c>
      <c r="B408" s="1">
        <v>45445</v>
      </c>
      <c r="C408" t="s">
        <v>14</v>
      </c>
      <c r="D408" t="s">
        <v>22</v>
      </c>
      <c r="E408" t="s">
        <v>16</v>
      </c>
      <c r="F408" t="s">
        <v>64</v>
      </c>
      <c r="G408">
        <v>4</v>
      </c>
      <c r="H408">
        <v>933</v>
      </c>
      <c r="I408">
        <v>3732</v>
      </c>
      <c r="J408">
        <v>2612.62</v>
      </c>
      <c r="K408">
        <v>1119.3800000000001</v>
      </c>
      <c r="L408" t="s">
        <v>18</v>
      </c>
      <c r="M408" t="s">
        <v>26</v>
      </c>
      <c r="N408" t="str">
        <f>TEXT(SalesData[[#This Row],[Order Date]],"MMM-YYYY")</f>
        <v>Jun-2024</v>
      </c>
      <c r="O408" s="2">
        <f>SalesData[[#This Row],[Profit]]/SalesData[[#This Row],[Sales]]</f>
        <v>0.29994105037513402</v>
      </c>
    </row>
    <row r="409" spans="1:15" x14ac:dyDescent="0.25">
      <c r="A409" t="s">
        <v>446</v>
      </c>
      <c r="B409" s="1">
        <v>45338</v>
      </c>
      <c r="C409" t="s">
        <v>41</v>
      </c>
      <c r="D409" t="s">
        <v>15</v>
      </c>
      <c r="E409" t="s">
        <v>34</v>
      </c>
      <c r="F409" t="s">
        <v>35</v>
      </c>
      <c r="G409">
        <v>5</v>
      </c>
      <c r="H409">
        <v>544</v>
      </c>
      <c r="I409">
        <v>2720</v>
      </c>
      <c r="J409">
        <v>2000.64</v>
      </c>
      <c r="K409">
        <v>719.36</v>
      </c>
      <c r="L409" t="s">
        <v>18</v>
      </c>
      <c r="M409" t="s">
        <v>19</v>
      </c>
      <c r="N409" t="str">
        <f>TEXT(SalesData[[#This Row],[Order Date]],"MMM-YYYY")</f>
        <v>Feb-2024</v>
      </c>
      <c r="O409" s="2">
        <f>SalesData[[#This Row],[Profit]]/SalesData[[#This Row],[Sales]]</f>
        <v>0.26447058823529412</v>
      </c>
    </row>
    <row r="410" spans="1:15" x14ac:dyDescent="0.25">
      <c r="A410" t="s">
        <v>447</v>
      </c>
      <c r="B410" s="1">
        <v>45512</v>
      </c>
      <c r="C410" t="s">
        <v>21</v>
      </c>
      <c r="D410" t="s">
        <v>28</v>
      </c>
      <c r="E410" t="s">
        <v>16</v>
      </c>
      <c r="F410" t="s">
        <v>64</v>
      </c>
      <c r="G410">
        <v>8</v>
      </c>
      <c r="H410">
        <v>29</v>
      </c>
      <c r="I410">
        <v>232</v>
      </c>
      <c r="J410">
        <v>144.86000000000001</v>
      </c>
      <c r="K410">
        <v>87.14</v>
      </c>
      <c r="L410" t="s">
        <v>18</v>
      </c>
      <c r="M410" t="s">
        <v>30</v>
      </c>
      <c r="N410" t="str">
        <f>TEXT(SalesData[[#This Row],[Order Date]],"MMM-YYYY")</f>
        <v>Aug-2024</v>
      </c>
      <c r="O410" s="2">
        <f>SalesData[[#This Row],[Profit]]/SalesData[[#This Row],[Sales]]</f>
        <v>0.37560344827586206</v>
      </c>
    </row>
    <row r="411" spans="1:15" x14ac:dyDescent="0.25">
      <c r="A411" t="s">
        <v>448</v>
      </c>
      <c r="B411" s="1">
        <v>45411</v>
      </c>
      <c r="C411" t="s">
        <v>21</v>
      </c>
      <c r="D411" t="s">
        <v>15</v>
      </c>
      <c r="E411" t="s">
        <v>23</v>
      </c>
      <c r="F411" t="s">
        <v>24</v>
      </c>
      <c r="G411">
        <v>3</v>
      </c>
      <c r="H411">
        <v>706</v>
      </c>
      <c r="I411">
        <v>2118</v>
      </c>
      <c r="J411">
        <v>1119.58</v>
      </c>
      <c r="K411">
        <v>998.42</v>
      </c>
      <c r="L411" t="s">
        <v>18</v>
      </c>
      <c r="M411" t="s">
        <v>26</v>
      </c>
      <c r="N411" t="str">
        <f>TEXT(SalesData[[#This Row],[Order Date]],"MMM-YYYY")</f>
        <v>Apr-2024</v>
      </c>
      <c r="O411" s="2">
        <f>SalesData[[#This Row],[Profit]]/SalesData[[#This Row],[Sales]]</f>
        <v>0.4713975448536355</v>
      </c>
    </row>
    <row r="412" spans="1:15" x14ac:dyDescent="0.25">
      <c r="A412" t="s">
        <v>449</v>
      </c>
      <c r="B412" s="1">
        <v>45363</v>
      </c>
      <c r="C412" t="s">
        <v>41</v>
      </c>
      <c r="D412" t="s">
        <v>28</v>
      </c>
      <c r="E412" t="s">
        <v>23</v>
      </c>
      <c r="F412" t="s">
        <v>43</v>
      </c>
      <c r="G412">
        <v>2</v>
      </c>
      <c r="H412">
        <v>794</v>
      </c>
      <c r="I412">
        <v>1588</v>
      </c>
      <c r="J412">
        <v>796.1</v>
      </c>
      <c r="K412">
        <v>791.9</v>
      </c>
      <c r="L412" t="s">
        <v>25</v>
      </c>
      <c r="M412" t="s">
        <v>44</v>
      </c>
      <c r="N412" t="str">
        <f>TEXT(SalesData[[#This Row],[Order Date]],"MMM-YYYY")</f>
        <v>Mar-2024</v>
      </c>
      <c r="O412" s="2">
        <f>SalesData[[#This Row],[Profit]]/SalesData[[#This Row],[Sales]]</f>
        <v>0.49867758186397981</v>
      </c>
    </row>
    <row r="413" spans="1:15" x14ac:dyDescent="0.25">
      <c r="A413" t="s">
        <v>450</v>
      </c>
      <c r="B413" s="1">
        <v>45506</v>
      </c>
      <c r="C413" t="s">
        <v>21</v>
      </c>
      <c r="D413" t="s">
        <v>28</v>
      </c>
      <c r="E413" t="s">
        <v>34</v>
      </c>
      <c r="F413" t="s">
        <v>47</v>
      </c>
      <c r="G413">
        <v>10</v>
      </c>
      <c r="H413">
        <v>927</v>
      </c>
      <c r="I413">
        <v>9270</v>
      </c>
      <c r="J413">
        <v>7179.63</v>
      </c>
      <c r="K413">
        <v>2090.37</v>
      </c>
      <c r="L413" t="s">
        <v>18</v>
      </c>
      <c r="M413" t="s">
        <v>30</v>
      </c>
      <c r="N413" t="str">
        <f>TEXT(SalesData[[#This Row],[Order Date]],"MMM-YYYY")</f>
        <v>Aug-2024</v>
      </c>
      <c r="O413" s="2">
        <f>SalesData[[#This Row],[Profit]]/SalesData[[#This Row],[Sales]]</f>
        <v>0.22549838187702265</v>
      </c>
    </row>
    <row r="414" spans="1:15" x14ac:dyDescent="0.25">
      <c r="A414" t="s">
        <v>451</v>
      </c>
      <c r="B414" s="1">
        <v>45470</v>
      </c>
      <c r="C414" t="s">
        <v>41</v>
      </c>
      <c r="D414" t="s">
        <v>22</v>
      </c>
      <c r="E414" t="s">
        <v>34</v>
      </c>
      <c r="F414" t="s">
        <v>53</v>
      </c>
      <c r="G414">
        <v>2</v>
      </c>
      <c r="H414">
        <v>205</v>
      </c>
      <c r="I414">
        <v>410</v>
      </c>
      <c r="J414">
        <v>294.64999999999998</v>
      </c>
      <c r="K414">
        <v>115.35</v>
      </c>
      <c r="L414" t="s">
        <v>18</v>
      </c>
      <c r="M414" t="s">
        <v>19</v>
      </c>
      <c r="N414" t="str">
        <f>TEXT(SalesData[[#This Row],[Order Date]],"MMM-YYYY")</f>
        <v>Jun-2024</v>
      </c>
      <c r="O414" s="2">
        <f>SalesData[[#This Row],[Profit]]/SalesData[[#This Row],[Sales]]</f>
        <v>0.28134146341463412</v>
      </c>
    </row>
    <row r="415" spans="1:15" x14ac:dyDescent="0.25">
      <c r="A415" t="s">
        <v>452</v>
      </c>
      <c r="B415" s="1">
        <v>45536</v>
      </c>
      <c r="C415" t="s">
        <v>38</v>
      </c>
      <c r="D415" t="s">
        <v>42</v>
      </c>
      <c r="E415" t="s">
        <v>34</v>
      </c>
      <c r="F415" t="s">
        <v>47</v>
      </c>
      <c r="G415">
        <v>6</v>
      </c>
      <c r="H415">
        <v>269</v>
      </c>
      <c r="I415">
        <v>1614</v>
      </c>
      <c r="J415">
        <v>1048.02</v>
      </c>
      <c r="K415">
        <v>565.98</v>
      </c>
      <c r="L415" t="s">
        <v>25</v>
      </c>
      <c r="M415" t="s">
        <v>26</v>
      </c>
      <c r="N415" t="str">
        <f>TEXT(SalesData[[#This Row],[Order Date]],"MMM-YYYY")</f>
        <v>Sep-2024</v>
      </c>
      <c r="O415" s="2">
        <f>SalesData[[#This Row],[Profit]]/SalesData[[#This Row],[Sales]]</f>
        <v>0.35066914498141266</v>
      </c>
    </row>
    <row r="416" spans="1:15" x14ac:dyDescent="0.25">
      <c r="A416" t="s">
        <v>453</v>
      </c>
      <c r="B416" s="1">
        <v>45314</v>
      </c>
      <c r="C416" t="s">
        <v>38</v>
      </c>
      <c r="D416" t="s">
        <v>42</v>
      </c>
      <c r="E416" t="s">
        <v>16</v>
      </c>
      <c r="F416" t="s">
        <v>29</v>
      </c>
      <c r="G416">
        <v>7</v>
      </c>
      <c r="H416">
        <v>637</v>
      </c>
      <c r="I416">
        <v>4459</v>
      </c>
      <c r="J416">
        <v>3088.94</v>
      </c>
      <c r="K416">
        <v>1370.06</v>
      </c>
      <c r="L416" t="s">
        <v>18</v>
      </c>
      <c r="M416" t="s">
        <v>26</v>
      </c>
      <c r="N416" t="str">
        <f>TEXT(SalesData[[#This Row],[Order Date]],"MMM-YYYY")</f>
        <v>Jan-2024</v>
      </c>
      <c r="O416" s="2">
        <f>SalesData[[#This Row],[Profit]]/SalesData[[#This Row],[Sales]]</f>
        <v>0.30725723256335502</v>
      </c>
    </row>
    <row r="417" spans="1:15" x14ac:dyDescent="0.25">
      <c r="A417" t="s">
        <v>454</v>
      </c>
      <c r="B417" s="1">
        <v>45547</v>
      </c>
      <c r="C417" t="s">
        <v>41</v>
      </c>
      <c r="D417" t="s">
        <v>15</v>
      </c>
      <c r="E417" t="s">
        <v>23</v>
      </c>
      <c r="F417" t="s">
        <v>24</v>
      </c>
      <c r="G417">
        <v>1</v>
      </c>
      <c r="H417">
        <v>619</v>
      </c>
      <c r="I417">
        <v>619</v>
      </c>
      <c r="J417">
        <v>431.11</v>
      </c>
      <c r="K417">
        <v>187.89</v>
      </c>
      <c r="L417" t="s">
        <v>25</v>
      </c>
      <c r="M417" t="s">
        <v>26</v>
      </c>
      <c r="N417" t="str">
        <f>TEXT(SalesData[[#This Row],[Order Date]],"MMM-YYYY")</f>
        <v>Sep-2024</v>
      </c>
      <c r="O417" s="2">
        <f>SalesData[[#This Row],[Profit]]/SalesData[[#This Row],[Sales]]</f>
        <v>0.30353796445880449</v>
      </c>
    </row>
    <row r="418" spans="1:15" x14ac:dyDescent="0.25">
      <c r="A418" t="s">
        <v>455</v>
      </c>
      <c r="B418" s="1">
        <v>45499</v>
      </c>
      <c r="C418" t="s">
        <v>38</v>
      </c>
      <c r="D418" t="s">
        <v>42</v>
      </c>
      <c r="E418" t="s">
        <v>23</v>
      </c>
      <c r="F418" t="s">
        <v>43</v>
      </c>
      <c r="G418">
        <v>5</v>
      </c>
      <c r="H418">
        <v>800</v>
      </c>
      <c r="I418">
        <v>4000</v>
      </c>
      <c r="J418">
        <v>2079.71</v>
      </c>
      <c r="K418">
        <v>1920.29</v>
      </c>
      <c r="L418" t="s">
        <v>25</v>
      </c>
      <c r="M418" t="s">
        <v>26</v>
      </c>
      <c r="N418" t="str">
        <f>TEXT(SalesData[[#This Row],[Order Date]],"MMM-YYYY")</f>
        <v>Jul-2024</v>
      </c>
      <c r="O418" s="2">
        <f>SalesData[[#This Row],[Profit]]/SalesData[[#This Row],[Sales]]</f>
        <v>0.48007250000000001</v>
      </c>
    </row>
    <row r="419" spans="1:15" x14ac:dyDescent="0.25">
      <c r="A419" t="s">
        <v>456</v>
      </c>
      <c r="B419" s="1">
        <v>45509</v>
      </c>
      <c r="C419" t="s">
        <v>38</v>
      </c>
      <c r="D419" t="s">
        <v>42</v>
      </c>
      <c r="E419" t="s">
        <v>23</v>
      </c>
      <c r="F419" t="s">
        <v>24</v>
      </c>
      <c r="G419">
        <v>8</v>
      </c>
      <c r="H419">
        <v>495</v>
      </c>
      <c r="I419">
        <v>3960</v>
      </c>
      <c r="J419">
        <v>2844.24</v>
      </c>
      <c r="K419">
        <v>1115.76</v>
      </c>
      <c r="L419" t="s">
        <v>25</v>
      </c>
      <c r="M419" t="s">
        <v>19</v>
      </c>
      <c r="N419" t="str">
        <f>TEXT(SalesData[[#This Row],[Order Date]],"MMM-YYYY")</f>
        <v>Aug-2024</v>
      </c>
      <c r="O419" s="2">
        <f>SalesData[[#This Row],[Profit]]/SalesData[[#This Row],[Sales]]</f>
        <v>0.28175757575757576</v>
      </c>
    </row>
    <row r="420" spans="1:15" x14ac:dyDescent="0.25">
      <c r="A420" t="s">
        <v>457</v>
      </c>
      <c r="B420" s="1">
        <v>45346</v>
      </c>
      <c r="C420" t="s">
        <v>14</v>
      </c>
      <c r="D420" t="s">
        <v>22</v>
      </c>
      <c r="E420" t="s">
        <v>34</v>
      </c>
      <c r="F420" t="s">
        <v>53</v>
      </c>
      <c r="G420">
        <v>3</v>
      </c>
      <c r="H420">
        <v>500</v>
      </c>
      <c r="I420">
        <v>1500</v>
      </c>
      <c r="J420">
        <v>828.65</v>
      </c>
      <c r="K420">
        <v>671.35</v>
      </c>
      <c r="L420" t="s">
        <v>25</v>
      </c>
      <c r="M420" t="s">
        <v>19</v>
      </c>
      <c r="N420" t="str">
        <f>TEXT(SalesData[[#This Row],[Order Date]],"MMM-YYYY")</f>
        <v>Feb-2024</v>
      </c>
      <c r="O420" s="2">
        <f>SalesData[[#This Row],[Profit]]/SalesData[[#This Row],[Sales]]</f>
        <v>0.44756666666666667</v>
      </c>
    </row>
    <row r="421" spans="1:15" x14ac:dyDescent="0.25">
      <c r="A421" t="s">
        <v>458</v>
      </c>
      <c r="B421" s="1">
        <v>45455</v>
      </c>
      <c r="C421" t="s">
        <v>41</v>
      </c>
      <c r="D421" t="s">
        <v>28</v>
      </c>
      <c r="E421" t="s">
        <v>23</v>
      </c>
      <c r="F421" t="s">
        <v>24</v>
      </c>
      <c r="G421">
        <v>3</v>
      </c>
      <c r="H421">
        <v>391</v>
      </c>
      <c r="I421">
        <v>1173</v>
      </c>
      <c r="J421">
        <v>724.39</v>
      </c>
      <c r="K421">
        <v>448.61</v>
      </c>
      <c r="L421" t="s">
        <v>18</v>
      </c>
      <c r="M421" t="s">
        <v>26</v>
      </c>
      <c r="N421" t="str">
        <f>TEXT(SalesData[[#This Row],[Order Date]],"MMM-YYYY")</f>
        <v>Jun-2024</v>
      </c>
      <c r="O421" s="2">
        <f>SalesData[[#This Row],[Profit]]/SalesData[[#This Row],[Sales]]</f>
        <v>0.38244671781756184</v>
      </c>
    </row>
    <row r="422" spans="1:15" x14ac:dyDescent="0.25">
      <c r="A422" t="s">
        <v>459</v>
      </c>
      <c r="B422" s="1">
        <v>45586</v>
      </c>
      <c r="C422" t="s">
        <v>14</v>
      </c>
      <c r="D422" t="s">
        <v>15</v>
      </c>
      <c r="E422" t="s">
        <v>23</v>
      </c>
      <c r="F422" t="s">
        <v>39</v>
      </c>
      <c r="G422">
        <v>1</v>
      </c>
      <c r="H422">
        <v>83</v>
      </c>
      <c r="I422">
        <v>83</v>
      </c>
      <c r="J422">
        <v>54.5</v>
      </c>
      <c r="K422">
        <v>28.5</v>
      </c>
      <c r="L422" t="s">
        <v>18</v>
      </c>
      <c r="M422" t="s">
        <v>30</v>
      </c>
      <c r="N422" t="str">
        <f>TEXT(SalesData[[#This Row],[Order Date]],"MMM-YYYY")</f>
        <v>Oct-2024</v>
      </c>
      <c r="O422" s="2">
        <f>SalesData[[#This Row],[Profit]]/SalesData[[#This Row],[Sales]]</f>
        <v>0.34337349397590361</v>
      </c>
    </row>
    <row r="423" spans="1:15" x14ac:dyDescent="0.25">
      <c r="A423" t="s">
        <v>460</v>
      </c>
      <c r="B423" s="1">
        <v>45447</v>
      </c>
      <c r="C423" t="s">
        <v>21</v>
      </c>
      <c r="D423" t="s">
        <v>28</v>
      </c>
      <c r="E423" t="s">
        <v>16</v>
      </c>
      <c r="F423" t="s">
        <v>29</v>
      </c>
      <c r="G423">
        <v>10</v>
      </c>
      <c r="H423">
        <v>331</v>
      </c>
      <c r="I423">
        <v>3310</v>
      </c>
      <c r="J423">
        <v>1782.39</v>
      </c>
      <c r="K423">
        <v>1527.61</v>
      </c>
      <c r="L423" t="s">
        <v>25</v>
      </c>
      <c r="M423" t="s">
        <v>19</v>
      </c>
      <c r="N423" t="str">
        <f>TEXT(SalesData[[#This Row],[Order Date]],"MMM-YYYY")</f>
        <v>Jun-2024</v>
      </c>
      <c r="O423" s="2">
        <f>SalesData[[#This Row],[Profit]]/SalesData[[#This Row],[Sales]]</f>
        <v>0.46151359516616314</v>
      </c>
    </row>
    <row r="424" spans="1:15" x14ac:dyDescent="0.25">
      <c r="A424" t="s">
        <v>461</v>
      </c>
      <c r="B424" s="1">
        <v>45408</v>
      </c>
      <c r="C424" t="s">
        <v>21</v>
      </c>
      <c r="D424" t="s">
        <v>28</v>
      </c>
      <c r="E424" t="s">
        <v>23</v>
      </c>
      <c r="F424" t="s">
        <v>24</v>
      </c>
      <c r="G424">
        <v>6</v>
      </c>
      <c r="H424">
        <v>138</v>
      </c>
      <c r="I424">
        <v>828</v>
      </c>
      <c r="J424">
        <v>581</v>
      </c>
      <c r="K424">
        <v>247</v>
      </c>
      <c r="L424" t="s">
        <v>25</v>
      </c>
      <c r="M424" t="s">
        <v>30</v>
      </c>
      <c r="N424" t="str">
        <f>TEXT(SalesData[[#This Row],[Order Date]],"MMM-YYYY")</f>
        <v>Apr-2024</v>
      </c>
      <c r="O424" s="2">
        <f>SalesData[[#This Row],[Profit]]/SalesData[[#This Row],[Sales]]</f>
        <v>0.29830917874396135</v>
      </c>
    </row>
    <row r="425" spans="1:15" x14ac:dyDescent="0.25">
      <c r="A425" t="s">
        <v>462</v>
      </c>
      <c r="B425" s="1">
        <v>45496</v>
      </c>
      <c r="C425" t="s">
        <v>38</v>
      </c>
      <c r="D425" t="s">
        <v>28</v>
      </c>
      <c r="E425" t="s">
        <v>34</v>
      </c>
      <c r="F425" t="s">
        <v>35</v>
      </c>
      <c r="G425">
        <v>10</v>
      </c>
      <c r="H425">
        <v>149</v>
      </c>
      <c r="I425">
        <v>1490</v>
      </c>
      <c r="J425">
        <v>825.62</v>
      </c>
      <c r="K425">
        <v>664.38</v>
      </c>
      <c r="L425" t="s">
        <v>18</v>
      </c>
      <c r="M425" t="s">
        <v>30</v>
      </c>
      <c r="N425" t="str">
        <f>TEXT(SalesData[[#This Row],[Order Date]],"MMM-YYYY")</f>
        <v>Jul-2024</v>
      </c>
      <c r="O425" s="2">
        <f>SalesData[[#This Row],[Profit]]/SalesData[[#This Row],[Sales]]</f>
        <v>0.44589261744966441</v>
      </c>
    </row>
    <row r="426" spans="1:15" x14ac:dyDescent="0.25">
      <c r="A426" t="s">
        <v>463</v>
      </c>
      <c r="B426" s="1">
        <v>45399</v>
      </c>
      <c r="C426" t="s">
        <v>21</v>
      </c>
      <c r="D426" t="s">
        <v>15</v>
      </c>
      <c r="E426" t="s">
        <v>16</v>
      </c>
      <c r="F426" t="s">
        <v>17</v>
      </c>
      <c r="G426">
        <v>6</v>
      </c>
      <c r="H426">
        <v>712</v>
      </c>
      <c r="I426">
        <v>4272</v>
      </c>
      <c r="J426">
        <v>3400.74</v>
      </c>
      <c r="K426">
        <v>871.26</v>
      </c>
      <c r="L426" t="s">
        <v>25</v>
      </c>
      <c r="M426" t="s">
        <v>44</v>
      </c>
      <c r="N426" t="str">
        <f>TEXT(SalesData[[#This Row],[Order Date]],"MMM-YYYY")</f>
        <v>Apr-2024</v>
      </c>
      <c r="O426" s="2">
        <f>SalesData[[#This Row],[Profit]]/SalesData[[#This Row],[Sales]]</f>
        <v>0.20394662921348314</v>
      </c>
    </row>
    <row r="427" spans="1:15" x14ac:dyDescent="0.25">
      <c r="A427" t="s">
        <v>464</v>
      </c>
      <c r="B427" s="1">
        <v>45349</v>
      </c>
      <c r="C427" t="s">
        <v>21</v>
      </c>
      <c r="D427" t="s">
        <v>15</v>
      </c>
      <c r="E427" t="s">
        <v>34</v>
      </c>
      <c r="F427" t="s">
        <v>47</v>
      </c>
      <c r="G427">
        <v>6</v>
      </c>
      <c r="H427">
        <v>570</v>
      </c>
      <c r="I427">
        <v>3420</v>
      </c>
      <c r="J427">
        <v>2287.6799999999998</v>
      </c>
      <c r="K427">
        <v>1132.32</v>
      </c>
      <c r="L427" t="s">
        <v>25</v>
      </c>
      <c r="M427" t="s">
        <v>19</v>
      </c>
      <c r="N427" t="str">
        <f>TEXT(SalesData[[#This Row],[Order Date]],"MMM-YYYY")</f>
        <v>Feb-2024</v>
      </c>
      <c r="O427" s="2">
        <f>SalesData[[#This Row],[Profit]]/SalesData[[#This Row],[Sales]]</f>
        <v>0.3310877192982456</v>
      </c>
    </row>
    <row r="428" spans="1:15" x14ac:dyDescent="0.25">
      <c r="A428" t="s">
        <v>465</v>
      </c>
      <c r="B428" s="1">
        <v>45358</v>
      </c>
      <c r="C428" t="s">
        <v>14</v>
      </c>
      <c r="D428" t="s">
        <v>15</v>
      </c>
      <c r="E428" t="s">
        <v>16</v>
      </c>
      <c r="F428" t="s">
        <v>64</v>
      </c>
      <c r="G428">
        <v>8</v>
      </c>
      <c r="H428">
        <v>612</v>
      </c>
      <c r="I428">
        <v>4896</v>
      </c>
      <c r="J428">
        <v>3601.19</v>
      </c>
      <c r="K428">
        <v>1294.81</v>
      </c>
      <c r="L428" t="s">
        <v>25</v>
      </c>
      <c r="M428" t="s">
        <v>30</v>
      </c>
      <c r="N428" t="str">
        <f>TEXT(SalesData[[#This Row],[Order Date]],"MMM-YYYY")</f>
        <v>Mar-2024</v>
      </c>
      <c r="O428" s="2">
        <f>SalesData[[#This Row],[Profit]]/SalesData[[#This Row],[Sales]]</f>
        <v>0.26446282679738559</v>
      </c>
    </row>
    <row r="429" spans="1:15" x14ac:dyDescent="0.25">
      <c r="A429" t="s">
        <v>466</v>
      </c>
      <c r="B429" s="1">
        <v>45429</v>
      </c>
      <c r="C429" t="s">
        <v>14</v>
      </c>
      <c r="D429" t="s">
        <v>28</v>
      </c>
      <c r="E429" t="s">
        <v>16</v>
      </c>
      <c r="F429" t="s">
        <v>29</v>
      </c>
      <c r="G429">
        <v>6</v>
      </c>
      <c r="H429">
        <v>174</v>
      </c>
      <c r="I429">
        <v>1044</v>
      </c>
      <c r="J429">
        <v>805.81</v>
      </c>
      <c r="K429">
        <v>238.19</v>
      </c>
      <c r="L429" t="s">
        <v>18</v>
      </c>
      <c r="M429" t="s">
        <v>19</v>
      </c>
      <c r="N429" t="str">
        <f>TEXT(SalesData[[#This Row],[Order Date]],"MMM-YYYY")</f>
        <v>May-2024</v>
      </c>
      <c r="O429" s="2">
        <f>SalesData[[#This Row],[Profit]]/SalesData[[#This Row],[Sales]]</f>
        <v>0.22815134099616857</v>
      </c>
    </row>
    <row r="430" spans="1:15" x14ac:dyDescent="0.25">
      <c r="A430" t="s">
        <v>467</v>
      </c>
      <c r="B430" s="1">
        <v>45349</v>
      </c>
      <c r="C430" t="s">
        <v>14</v>
      </c>
      <c r="D430" t="s">
        <v>22</v>
      </c>
      <c r="E430" t="s">
        <v>23</v>
      </c>
      <c r="F430" t="s">
        <v>24</v>
      </c>
      <c r="G430">
        <v>10</v>
      </c>
      <c r="H430">
        <v>390</v>
      </c>
      <c r="I430">
        <v>3900</v>
      </c>
      <c r="J430">
        <v>2743.07</v>
      </c>
      <c r="K430">
        <v>1156.93</v>
      </c>
      <c r="L430" t="s">
        <v>18</v>
      </c>
      <c r="M430" t="s">
        <v>26</v>
      </c>
      <c r="N430" t="str">
        <f>TEXT(SalesData[[#This Row],[Order Date]],"MMM-YYYY")</f>
        <v>Feb-2024</v>
      </c>
      <c r="O430" s="2">
        <f>SalesData[[#This Row],[Profit]]/SalesData[[#This Row],[Sales]]</f>
        <v>0.29664871794871794</v>
      </c>
    </row>
    <row r="431" spans="1:15" x14ac:dyDescent="0.25">
      <c r="A431" t="s">
        <v>468</v>
      </c>
      <c r="B431" s="1">
        <v>45346</v>
      </c>
      <c r="C431" t="s">
        <v>41</v>
      </c>
      <c r="D431" t="s">
        <v>22</v>
      </c>
      <c r="E431" t="s">
        <v>16</v>
      </c>
      <c r="F431" t="s">
        <v>29</v>
      </c>
      <c r="G431">
        <v>10</v>
      </c>
      <c r="H431">
        <v>949</v>
      </c>
      <c r="I431">
        <v>9490</v>
      </c>
      <c r="J431">
        <v>6363.58</v>
      </c>
      <c r="K431">
        <v>3126.42</v>
      </c>
      <c r="L431" t="s">
        <v>25</v>
      </c>
      <c r="M431" t="s">
        <v>26</v>
      </c>
      <c r="N431" t="str">
        <f>TEXT(SalesData[[#This Row],[Order Date]],"MMM-YYYY")</f>
        <v>Feb-2024</v>
      </c>
      <c r="O431" s="2">
        <f>SalesData[[#This Row],[Profit]]/SalesData[[#This Row],[Sales]]</f>
        <v>0.32944362486828244</v>
      </c>
    </row>
    <row r="432" spans="1:15" x14ac:dyDescent="0.25">
      <c r="A432" t="s">
        <v>469</v>
      </c>
      <c r="B432" s="1">
        <v>45471</v>
      </c>
      <c r="C432" t="s">
        <v>14</v>
      </c>
      <c r="D432" t="s">
        <v>28</v>
      </c>
      <c r="E432" t="s">
        <v>16</v>
      </c>
      <c r="F432" t="s">
        <v>17</v>
      </c>
      <c r="G432">
        <v>4</v>
      </c>
      <c r="H432">
        <v>138</v>
      </c>
      <c r="I432">
        <v>552</v>
      </c>
      <c r="J432">
        <v>372.95</v>
      </c>
      <c r="K432">
        <v>179.05</v>
      </c>
      <c r="L432" t="s">
        <v>25</v>
      </c>
      <c r="M432" t="s">
        <v>44</v>
      </c>
      <c r="N432" t="str">
        <f>TEXT(SalesData[[#This Row],[Order Date]],"MMM-YYYY")</f>
        <v>Jun-2024</v>
      </c>
      <c r="O432" s="2">
        <f>SalesData[[#This Row],[Profit]]/SalesData[[#This Row],[Sales]]</f>
        <v>0.32436594202898555</v>
      </c>
    </row>
    <row r="433" spans="1:15" x14ac:dyDescent="0.25">
      <c r="A433" t="s">
        <v>470</v>
      </c>
      <c r="B433" s="1">
        <v>45498</v>
      </c>
      <c r="C433" t="s">
        <v>38</v>
      </c>
      <c r="D433" t="s">
        <v>15</v>
      </c>
      <c r="E433" t="s">
        <v>34</v>
      </c>
      <c r="F433" t="s">
        <v>35</v>
      </c>
      <c r="G433">
        <v>7</v>
      </c>
      <c r="H433">
        <v>400</v>
      </c>
      <c r="I433">
        <v>2800</v>
      </c>
      <c r="J433">
        <v>2218.54</v>
      </c>
      <c r="K433">
        <v>581.46</v>
      </c>
      <c r="L433" t="s">
        <v>18</v>
      </c>
      <c r="M433" t="s">
        <v>19</v>
      </c>
      <c r="N433" t="str">
        <f>TEXT(SalesData[[#This Row],[Order Date]],"MMM-YYYY")</f>
        <v>Jul-2024</v>
      </c>
      <c r="O433" s="2">
        <f>SalesData[[#This Row],[Profit]]/SalesData[[#This Row],[Sales]]</f>
        <v>0.20766428571428572</v>
      </c>
    </row>
    <row r="434" spans="1:15" x14ac:dyDescent="0.25">
      <c r="A434" t="s">
        <v>471</v>
      </c>
      <c r="B434" s="1">
        <v>45387</v>
      </c>
      <c r="C434" t="s">
        <v>14</v>
      </c>
      <c r="D434" t="s">
        <v>15</v>
      </c>
      <c r="E434" t="s">
        <v>16</v>
      </c>
      <c r="F434" t="s">
        <v>17</v>
      </c>
      <c r="G434">
        <v>6</v>
      </c>
      <c r="H434">
        <v>782</v>
      </c>
      <c r="I434">
        <v>4692</v>
      </c>
      <c r="J434">
        <v>3450.96</v>
      </c>
      <c r="K434">
        <v>1241.04</v>
      </c>
      <c r="L434" t="s">
        <v>25</v>
      </c>
      <c r="M434" t="s">
        <v>26</v>
      </c>
      <c r="N434" t="str">
        <f>TEXT(SalesData[[#This Row],[Order Date]],"MMM-YYYY")</f>
        <v>Apr-2024</v>
      </c>
      <c r="O434" s="2">
        <f>SalesData[[#This Row],[Profit]]/SalesData[[#This Row],[Sales]]</f>
        <v>0.2645012787723785</v>
      </c>
    </row>
    <row r="435" spans="1:15" x14ac:dyDescent="0.25">
      <c r="A435" t="s">
        <v>472</v>
      </c>
      <c r="B435" s="1">
        <v>45580</v>
      </c>
      <c r="C435" t="s">
        <v>21</v>
      </c>
      <c r="D435" t="s">
        <v>42</v>
      </c>
      <c r="E435" t="s">
        <v>16</v>
      </c>
      <c r="F435" t="s">
        <v>17</v>
      </c>
      <c r="G435">
        <v>1</v>
      </c>
      <c r="H435">
        <v>355</v>
      </c>
      <c r="I435">
        <v>355</v>
      </c>
      <c r="J435">
        <v>246.92</v>
      </c>
      <c r="K435">
        <v>108.08</v>
      </c>
      <c r="L435" t="s">
        <v>25</v>
      </c>
      <c r="M435" t="s">
        <v>30</v>
      </c>
      <c r="N435" t="str">
        <f>TEXT(SalesData[[#This Row],[Order Date]],"MMM-YYYY")</f>
        <v>Oct-2024</v>
      </c>
      <c r="O435" s="2">
        <f>SalesData[[#This Row],[Profit]]/SalesData[[#This Row],[Sales]]</f>
        <v>0.30445070422535209</v>
      </c>
    </row>
    <row r="436" spans="1:15" x14ac:dyDescent="0.25">
      <c r="A436" t="s">
        <v>473</v>
      </c>
      <c r="B436" s="1">
        <v>45543</v>
      </c>
      <c r="C436" t="s">
        <v>14</v>
      </c>
      <c r="D436" t="s">
        <v>15</v>
      </c>
      <c r="E436" t="s">
        <v>16</v>
      </c>
      <c r="F436" t="s">
        <v>17</v>
      </c>
      <c r="G436">
        <v>6</v>
      </c>
      <c r="H436">
        <v>53</v>
      </c>
      <c r="I436">
        <v>318</v>
      </c>
      <c r="J436">
        <v>169.62</v>
      </c>
      <c r="K436">
        <v>148.38</v>
      </c>
      <c r="L436" t="s">
        <v>25</v>
      </c>
      <c r="M436" t="s">
        <v>30</v>
      </c>
      <c r="N436" t="str">
        <f>TEXT(SalesData[[#This Row],[Order Date]],"MMM-YYYY")</f>
        <v>Sep-2024</v>
      </c>
      <c r="O436" s="2">
        <f>SalesData[[#This Row],[Profit]]/SalesData[[#This Row],[Sales]]</f>
        <v>0.46660377358490562</v>
      </c>
    </row>
    <row r="437" spans="1:15" x14ac:dyDescent="0.25">
      <c r="A437" t="s">
        <v>474</v>
      </c>
      <c r="B437" s="1">
        <v>45352</v>
      </c>
      <c r="C437" t="s">
        <v>38</v>
      </c>
      <c r="D437" t="s">
        <v>28</v>
      </c>
      <c r="E437" t="s">
        <v>16</v>
      </c>
      <c r="F437" t="s">
        <v>17</v>
      </c>
      <c r="G437">
        <v>10</v>
      </c>
      <c r="H437">
        <v>665</v>
      </c>
      <c r="I437">
        <v>6650</v>
      </c>
      <c r="J437">
        <v>3845.45</v>
      </c>
      <c r="K437">
        <v>2804.55</v>
      </c>
      <c r="L437" t="s">
        <v>18</v>
      </c>
      <c r="M437" t="s">
        <v>44</v>
      </c>
      <c r="N437" t="str">
        <f>TEXT(SalesData[[#This Row],[Order Date]],"MMM-YYYY")</f>
        <v>Mar-2024</v>
      </c>
      <c r="O437" s="2">
        <f>SalesData[[#This Row],[Profit]]/SalesData[[#This Row],[Sales]]</f>
        <v>0.42173684210526319</v>
      </c>
    </row>
    <row r="438" spans="1:15" x14ac:dyDescent="0.25">
      <c r="A438" t="s">
        <v>475</v>
      </c>
      <c r="B438" s="1">
        <v>45584</v>
      </c>
      <c r="C438" t="s">
        <v>21</v>
      </c>
      <c r="D438" t="s">
        <v>42</v>
      </c>
      <c r="E438" t="s">
        <v>16</v>
      </c>
      <c r="F438" t="s">
        <v>64</v>
      </c>
      <c r="G438">
        <v>9</v>
      </c>
      <c r="H438">
        <v>388</v>
      </c>
      <c r="I438">
        <v>3492</v>
      </c>
      <c r="J438">
        <v>2759.15</v>
      </c>
      <c r="K438">
        <v>732.85</v>
      </c>
      <c r="L438" t="s">
        <v>25</v>
      </c>
      <c r="M438" t="s">
        <v>19</v>
      </c>
      <c r="N438" t="str">
        <f>TEXT(SalesData[[#This Row],[Order Date]],"MMM-YYYY")</f>
        <v>Oct-2024</v>
      </c>
      <c r="O438" s="2">
        <f>SalesData[[#This Row],[Profit]]/SalesData[[#This Row],[Sales]]</f>
        <v>0.20986540664375716</v>
      </c>
    </row>
    <row r="439" spans="1:15" x14ac:dyDescent="0.25">
      <c r="A439" t="s">
        <v>476</v>
      </c>
      <c r="B439" s="1">
        <v>45383</v>
      </c>
      <c r="C439" t="s">
        <v>38</v>
      </c>
      <c r="D439" t="s">
        <v>15</v>
      </c>
      <c r="E439" t="s">
        <v>34</v>
      </c>
      <c r="F439" t="s">
        <v>35</v>
      </c>
      <c r="G439">
        <v>3</v>
      </c>
      <c r="H439">
        <v>766</v>
      </c>
      <c r="I439">
        <v>2298</v>
      </c>
      <c r="J439">
        <v>1736.73</v>
      </c>
      <c r="K439">
        <v>561.27</v>
      </c>
      <c r="L439" t="s">
        <v>25</v>
      </c>
      <c r="M439" t="s">
        <v>30</v>
      </c>
      <c r="N439" t="str">
        <f>TEXT(SalesData[[#This Row],[Order Date]],"MMM-YYYY")</f>
        <v>Apr-2024</v>
      </c>
      <c r="O439" s="2">
        <f>SalesData[[#This Row],[Profit]]/SalesData[[#This Row],[Sales]]</f>
        <v>0.24424281984334203</v>
      </c>
    </row>
    <row r="440" spans="1:15" x14ac:dyDescent="0.25">
      <c r="A440" t="s">
        <v>477</v>
      </c>
      <c r="B440" s="1">
        <v>45573</v>
      </c>
      <c r="C440" t="s">
        <v>41</v>
      </c>
      <c r="D440" t="s">
        <v>15</v>
      </c>
      <c r="E440" t="s">
        <v>16</v>
      </c>
      <c r="F440" t="s">
        <v>29</v>
      </c>
      <c r="G440">
        <v>6</v>
      </c>
      <c r="H440">
        <v>46</v>
      </c>
      <c r="I440">
        <v>276</v>
      </c>
      <c r="J440">
        <v>200.93</v>
      </c>
      <c r="K440">
        <v>75.069999999999993</v>
      </c>
      <c r="L440" t="s">
        <v>18</v>
      </c>
      <c r="M440" t="s">
        <v>30</v>
      </c>
      <c r="N440" t="str">
        <f>TEXT(SalesData[[#This Row],[Order Date]],"MMM-YYYY")</f>
        <v>Oct-2024</v>
      </c>
      <c r="O440" s="2">
        <f>SalesData[[#This Row],[Profit]]/SalesData[[#This Row],[Sales]]</f>
        <v>0.27199275362318837</v>
      </c>
    </row>
    <row r="441" spans="1:15" x14ac:dyDescent="0.25">
      <c r="A441" t="s">
        <v>478</v>
      </c>
      <c r="B441" s="1">
        <v>45311</v>
      </c>
      <c r="C441" t="s">
        <v>21</v>
      </c>
      <c r="D441" t="s">
        <v>28</v>
      </c>
      <c r="E441" t="s">
        <v>23</v>
      </c>
      <c r="F441" t="s">
        <v>43</v>
      </c>
      <c r="G441">
        <v>1</v>
      </c>
      <c r="H441">
        <v>917</v>
      </c>
      <c r="I441">
        <v>917</v>
      </c>
      <c r="J441">
        <v>471.14</v>
      </c>
      <c r="K441">
        <v>445.86</v>
      </c>
      <c r="L441" t="s">
        <v>25</v>
      </c>
      <c r="M441" t="s">
        <v>44</v>
      </c>
      <c r="N441" t="str">
        <f>TEXT(SalesData[[#This Row],[Order Date]],"MMM-YYYY")</f>
        <v>Jan-2024</v>
      </c>
      <c r="O441" s="2">
        <f>SalesData[[#This Row],[Profit]]/SalesData[[#This Row],[Sales]]</f>
        <v>0.48621592148309706</v>
      </c>
    </row>
    <row r="442" spans="1:15" x14ac:dyDescent="0.25">
      <c r="A442" t="s">
        <v>479</v>
      </c>
      <c r="B442" s="1">
        <v>45464</v>
      </c>
      <c r="C442" t="s">
        <v>14</v>
      </c>
      <c r="D442" t="s">
        <v>15</v>
      </c>
      <c r="E442" t="s">
        <v>34</v>
      </c>
      <c r="F442" t="s">
        <v>47</v>
      </c>
      <c r="G442">
        <v>10</v>
      </c>
      <c r="H442">
        <v>173</v>
      </c>
      <c r="I442">
        <v>1730</v>
      </c>
      <c r="J442">
        <v>972.2</v>
      </c>
      <c r="K442">
        <v>757.8</v>
      </c>
      <c r="L442" t="s">
        <v>18</v>
      </c>
      <c r="M442" t="s">
        <v>26</v>
      </c>
      <c r="N442" t="str">
        <f>TEXT(SalesData[[#This Row],[Order Date]],"MMM-YYYY")</f>
        <v>Jun-2024</v>
      </c>
      <c r="O442" s="2">
        <f>SalesData[[#This Row],[Profit]]/SalesData[[#This Row],[Sales]]</f>
        <v>0.43803468208092483</v>
      </c>
    </row>
    <row r="443" spans="1:15" x14ac:dyDescent="0.25">
      <c r="A443" t="s">
        <v>480</v>
      </c>
      <c r="B443" s="1">
        <v>45485</v>
      </c>
      <c r="C443" t="s">
        <v>14</v>
      </c>
      <c r="D443" t="s">
        <v>28</v>
      </c>
      <c r="E443" t="s">
        <v>23</v>
      </c>
      <c r="F443" t="s">
        <v>24</v>
      </c>
      <c r="G443">
        <v>7</v>
      </c>
      <c r="H443">
        <v>43</v>
      </c>
      <c r="I443">
        <v>301</v>
      </c>
      <c r="J443">
        <v>233.92</v>
      </c>
      <c r="K443">
        <v>67.08</v>
      </c>
      <c r="L443" t="s">
        <v>18</v>
      </c>
      <c r="M443" t="s">
        <v>19</v>
      </c>
      <c r="N443" t="str">
        <f>TEXT(SalesData[[#This Row],[Order Date]],"MMM-YYYY")</f>
        <v>Jul-2024</v>
      </c>
      <c r="O443" s="2">
        <f>SalesData[[#This Row],[Profit]]/SalesData[[#This Row],[Sales]]</f>
        <v>0.22285714285714286</v>
      </c>
    </row>
    <row r="444" spans="1:15" x14ac:dyDescent="0.25">
      <c r="A444" t="s">
        <v>481</v>
      </c>
      <c r="B444" s="1">
        <v>45519</v>
      </c>
      <c r="C444" t="s">
        <v>41</v>
      </c>
      <c r="D444" t="s">
        <v>42</v>
      </c>
      <c r="E444" t="s">
        <v>23</v>
      </c>
      <c r="F444" t="s">
        <v>43</v>
      </c>
      <c r="G444">
        <v>8</v>
      </c>
      <c r="H444">
        <v>364</v>
      </c>
      <c r="I444">
        <v>2912</v>
      </c>
      <c r="J444">
        <v>2047.55</v>
      </c>
      <c r="K444">
        <v>864.45</v>
      </c>
      <c r="L444" t="s">
        <v>25</v>
      </c>
      <c r="M444" t="s">
        <v>30</v>
      </c>
      <c r="N444" t="str">
        <f>TEXT(SalesData[[#This Row],[Order Date]],"MMM-YYYY")</f>
        <v>Aug-2024</v>
      </c>
      <c r="O444" s="2">
        <f>SalesData[[#This Row],[Profit]]/SalesData[[#This Row],[Sales]]</f>
        <v>0.2968578296703297</v>
      </c>
    </row>
    <row r="445" spans="1:15" x14ac:dyDescent="0.25">
      <c r="A445" t="s">
        <v>482</v>
      </c>
      <c r="B445" s="1">
        <v>45408</v>
      </c>
      <c r="C445" t="s">
        <v>38</v>
      </c>
      <c r="D445" t="s">
        <v>28</v>
      </c>
      <c r="E445" t="s">
        <v>23</v>
      </c>
      <c r="F445" t="s">
        <v>24</v>
      </c>
      <c r="G445">
        <v>7</v>
      </c>
      <c r="H445">
        <v>31</v>
      </c>
      <c r="I445">
        <v>217</v>
      </c>
      <c r="J445">
        <v>167.29</v>
      </c>
      <c r="K445">
        <v>49.71</v>
      </c>
      <c r="L445" t="s">
        <v>18</v>
      </c>
      <c r="M445" t="s">
        <v>26</v>
      </c>
      <c r="N445" t="str">
        <f>TEXT(SalesData[[#This Row],[Order Date]],"MMM-YYYY")</f>
        <v>Apr-2024</v>
      </c>
      <c r="O445" s="2">
        <f>SalesData[[#This Row],[Profit]]/SalesData[[#This Row],[Sales]]</f>
        <v>0.22907834101382488</v>
      </c>
    </row>
    <row r="446" spans="1:15" x14ac:dyDescent="0.25">
      <c r="A446" t="s">
        <v>483</v>
      </c>
      <c r="B446" s="1">
        <v>45539</v>
      </c>
      <c r="C446" t="s">
        <v>14</v>
      </c>
      <c r="D446" t="s">
        <v>15</v>
      </c>
      <c r="E446" t="s">
        <v>34</v>
      </c>
      <c r="F446" t="s">
        <v>35</v>
      </c>
      <c r="G446">
        <v>9</v>
      </c>
      <c r="H446">
        <v>78</v>
      </c>
      <c r="I446">
        <v>702</v>
      </c>
      <c r="J446">
        <v>351.51</v>
      </c>
      <c r="K446">
        <v>350.49</v>
      </c>
      <c r="L446" t="s">
        <v>18</v>
      </c>
      <c r="M446" t="s">
        <v>19</v>
      </c>
      <c r="N446" t="str">
        <f>TEXT(SalesData[[#This Row],[Order Date]],"MMM-YYYY")</f>
        <v>Sep-2024</v>
      </c>
      <c r="O446" s="2">
        <f>SalesData[[#This Row],[Profit]]/SalesData[[#This Row],[Sales]]</f>
        <v>0.49927350427350431</v>
      </c>
    </row>
    <row r="447" spans="1:15" x14ac:dyDescent="0.25">
      <c r="A447" t="s">
        <v>484</v>
      </c>
      <c r="B447" s="1">
        <v>45528</v>
      </c>
      <c r="C447" t="s">
        <v>21</v>
      </c>
      <c r="D447" t="s">
        <v>28</v>
      </c>
      <c r="E447" t="s">
        <v>34</v>
      </c>
      <c r="F447" t="s">
        <v>35</v>
      </c>
      <c r="G447">
        <v>4</v>
      </c>
      <c r="H447">
        <v>234</v>
      </c>
      <c r="I447">
        <v>936</v>
      </c>
      <c r="J447">
        <v>635.98</v>
      </c>
      <c r="K447">
        <v>300.02</v>
      </c>
      <c r="L447" t="s">
        <v>18</v>
      </c>
      <c r="M447" t="s">
        <v>26</v>
      </c>
      <c r="N447" t="str">
        <f>TEXT(SalesData[[#This Row],[Order Date]],"MMM-YYYY")</f>
        <v>Aug-2024</v>
      </c>
      <c r="O447" s="2">
        <f>SalesData[[#This Row],[Profit]]/SalesData[[#This Row],[Sales]]</f>
        <v>0.32053418803418804</v>
      </c>
    </row>
    <row r="448" spans="1:15" x14ac:dyDescent="0.25">
      <c r="A448" t="s">
        <v>485</v>
      </c>
      <c r="B448" s="1">
        <v>45361</v>
      </c>
      <c r="C448" t="s">
        <v>41</v>
      </c>
      <c r="D448" t="s">
        <v>28</v>
      </c>
      <c r="E448" t="s">
        <v>34</v>
      </c>
      <c r="F448" t="s">
        <v>53</v>
      </c>
      <c r="G448">
        <v>2</v>
      </c>
      <c r="H448">
        <v>974</v>
      </c>
      <c r="I448">
        <v>1948</v>
      </c>
      <c r="J448">
        <v>986.03</v>
      </c>
      <c r="K448">
        <v>961.97</v>
      </c>
      <c r="L448" t="s">
        <v>25</v>
      </c>
      <c r="M448" t="s">
        <v>19</v>
      </c>
      <c r="N448" t="str">
        <f>TEXT(SalesData[[#This Row],[Order Date]],"MMM-YYYY")</f>
        <v>Mar-2024</v>
      </c>
      <c r="O448" s="2">
        <f>SalesData[[#This Row],[Profit]]/SalesData[[#This Row],[Sales]]</f>
        <v>0.49382443531827519</v>
      </c>
    </row>
    <row r="449" spans="1:15" x14ac:dyDescent="0.25">
      <c r="A449" t="s">
        <v>486</v>
      </c>
      <c r="B449" s="1">
        <v>45422</v>
      </c>
      <c r="C449" t="s">
        <v>21</v>
      </c>
      <c r="D449" t="s">
        <v>28</v>
      </c>
      <c r="E449" t="s">
        <v>23</v>
      </c>
      <c r="F449" t="s">
        <v>43</v>
      </c>
      <c r="G449">
        <v>6</v>
      </c>
      <c r="H449">
        <v>290</v>
      </c>
      <c r="I449">
        <v>1740</v>
      </c>
      <c r="J449">
        <v>1231.17</v>
      </c>
      <c r="K449">
        <v>508.83</v>
      </c>
      <c r="L449" t="s">
        <v>25</v>
      </c>
      <c r="M449" t="s">
        <v>30</v>
      </c>
      <c r="N449" t="str">
        <f>TEXT(SalesData[[#This Row],[Order Date]],"MMM-YYYY")</f>
        <v>May-2024</v>
      </c>
      <c r="O449" s="2">
        <f>SalesData[[#This Row],[Profit]]/SalesData[[#This Row],[Sales]]</f>
        <v>0.29243103448275859</v>
      </c>
    </row>
    <row r="450" spans="1:15" x14ac:dyDescent="0.25">
      <c r="A450" t="s">
        <v>487</v>
      </c>
      <c r="B450" s="1">
        <v>45431</v>
      </c>
      <c r="C450" t="s">
        <v>38</v>
      </c>
      <c r="D450" t="s">
        <v>22</v>
      </c>
      <c r="E450" t="s">
        <v>23</v>
      </c>
      <c r="F450" t="s">
        <v>43</v>
      </c>
      <c r="G450">
        <v>5</v>
      </c>
      <c r="H450">
        <v>109</v>
      </c>
      <c r="I450">
        <v>545</v>
      </c>
      <c r="J450">
        <v>310.58</v>
      </c>
      <c r="K450">
        <v>234.42</v>
      </c>
      <c r="L450" t="s">
        <v>25</v>
      </c>
      <c r="M450" t="s">
        <v>30</v>
      </c>
      <c r="N450" t="str">
        <f>TEXT(SalesData[[#This Row],[Order Date]],"MMM-YYYY")</f>
        <v>May-2024</v>
      </c>
      <c r="O450" s="2">
        <f>SalesData[[#This Row],[Profit]]/SalesData[[#This Row],[Sales]]</f>
        <v>0.43012844036697245</v>
      </c>
    </row>
    <row r="451" spans="1:15" x14ac:dyDescent="0.25">
      <c r="A451" t="s">
        <v>488</v>
      </c>
      <c r="B451" s="1">
        <v>45310</v>
      </c>
      <c r="C451" t="s">
        <v>41</v>
      </c>
      <c r="D451" t="s">
        <v>22</v>
      </c>
      <c r="E451" t="s">
        <v>16</v>
      </c>
      <c r="F451" t="s">
        <v>29</v>
      </c>
      <c r="G451">
        <v>2</v>
      </c>
      <c r="H451">
        <v>251</v>
      </c>
      <c r="I451">
        <v>502</v>
      </c>
      <c r="J451">
        <v>275.20999999999998</v>
      </c>
      <c r="K451">
        <v>226.79</v>
      </c>
      <c r="L451" t="s">
        <v>25</v>
      </c>
      <c r="M451" t="s">
        <v>44</v>
      </c>
      <c r="N451" t="str">
        <f>TEXT(SalesData[[#This Row],[Order Date]],"MMM-YYYY")</f>
        <v>Jan-2024</v>
      </c>
      <c r="O451" s="2">
        <f>SalesData[[#This Row],[Profit]]/SalesData[[#This Row],[Sales]]</f>
        <v>0.45177290836653383</v>
      </c>
    </row>
    <row r="452" spans="1:15" x14ac:dyDescent="0.25">
      <c r="A452" t="s">
        <v>489</v>
      </c>
      <c r="B452" s="1">
        <v>45525</v>
      </c>
      <c r="C452" t="s">
        <v>21</v>
      </c>
      <c r="D452" t="s">
        <v>22</v>
      </c>
      <c r="E452" t="s">
        <v>16</v>
      </c>
      <c r="F452" t="s">
        <v>29</v>
      </c>
      <c r="G452">
        <v>4</v>
      </c>
      <c r="H452">
        <v>710</v>
      </c>
      <c r="I452">
        <v>2840</v>
      </c>
      <c r="J452">
        <v>2105.56</v>
      </c>
      <c r="K452">
        <v>734.44</v>
      </c>
      <c r="L452" t="s">
        <v>25</v>
      </c>
      <c r="M452" t="s">
        <v>30</v>
      </c>
      <c r="N452" t="str">
        <f>TEXT(SalesData[[#This Row],[Order Date]],"MMM-YYYY")</f>
        <v>Aug-2024</v>
      </c>
      <c r="O452" s="2">
        <f>SalesData[[#This Row],[Profit]]/SalesData[[#This Row],[Sales]]</f>
        <v>0.25860563380281693</v>
      </c>
    </row>
    <row r="453" spans="1:15" x14ac:dyDescent="0.25">
      <c r="A453" t="s">
        <v>490</v>
      </c>
      <c r="B453" s="1">
        <v>45319</v>
      </c>
      <c r="C453" t="s">
        <v>38</v>
      </c>
      <c r="D453" t="s">
        <v>28</v>
      </c>
      <c r="E453" t="s">
        <v>16</v>
      </c>
      <c r="F453" t="s">
        <v>64</v>
      </c>
      <c r="G453">
        <v>9</v>
      </c>
      <c r="H453">
        <v>30</v>
      </c>
      <c r="I453">
        <v>270</v>
      </c>
      <c r="J453">
        <v>147.53</v>
      </c>
      <c r="K453">
        <v>122.47</v>
      </c>
      <c r="L453" t="s">
        <v>25</v>
      </c>
      <c r="M453" t="s">
        <v>19</v>
      </c>
      <c r="N453" t="str">
        <f>TEXT(SalesData[[#This Row],[Order Date]],"MMM-YYYY")</f>
        <v>Jan-2024</v>
      </c>
      <c r="O453" s="2">
        <f>SalesData[[#This Row],[Profit]]/SalesData[[#This Row],[Sales]]</f>
        <v>0.4535925925925926</v>
      </c>
    </row>
    <row r="454" spans="1:15" x14ac:dyDescent="0.25">
      <c r="A454" t="s">
        <v>491</v>
      </c>
      <c r="B454" s="1">
        <v>45577</v>
      </c>
      <c r="C454" t="s">
        <v>41</v>
      </c>
      <c r="D454" t="s">
        <v>15</v>
      </c>
      <c r="E454" t="s">
        <v>16</v>
      </c>
      <c r="F454" t="s">
        <v>64</v>
      </c>
      <c r="G454">
        <v>7</v>
      </c>
      <c r="H454">
        <v>581</v>
      </c>
      <c r="I454">
        <v>4067</v>
      </c>
      <c r="J454">
        <v>2488.84</v>
      </c>
      <c r="K454">
        <v>1578.16</v>
      </c>
      <c r="L454" t="s">
        <v>25</v>
      </c>
      <c r="M454" t="s">
        <v>30</v>
      </c>
      <c r="N454" t="str">
        <f>TEXT(SalesData[[#This Row],[Order Date]],"MMM-YYYY")</f>
        <v>Oct-2024</v>
      </c>
      <c r="O454" s="2">
        <f>SalesData[[#This Row],[Profit]]/SalesData[[#This Row],[Sales]]</f>
        <v>0.38804032456356036</v>
      </c>
    </row>
    <row r="455" spans="1:15" x14ac:dyDescent="0.25">
      <c r="A455" t="s">
        <v>492</v>
      </c>
      <c r="B455" s="1">
        <v>45581</v>
      </c>
      <c r="C455" t="s">
        <v>21</v>
      </c>
      <c r="D455" t="s">
        <v>28</v>
      </c>
      <c r="E455" t="s">
        <v>16</v>
      </c>
      <c r="F455" t="s">
        <v>29</v>
      </c>
      <c r="G455">
        <v>3</v>
      </c>
      <c r="H455">
        <v>608</v>
      </c>
      <c r="I455">
        <v>1824</v>
      </c>
      <c r="J455">
        <v>1009.92</v>
      </c>
      <c r="K455">
        <v>814.08</v>
      </c>
      <c r="L455" t="s">
        <v>18</v>
      </c>
      <c r="M455" t="s">
        <v>44</v>
      </c>
      <c r="N455" t="str">
        <f>TEXT(SalesData[[#This Row],[Order Date]],"MMM-YYYY")</f>
        <v>Oct-2024</v>
      </c>
      <c r="O455" s="2">
        <f>SalesData[[#This Row],[Profit]]/SalesData[[#This Row],[Sales]]</f>
        <v>0.44631578947368422</v>
      </c>
    </row>
    <row r="456" spans="1:15" x14ac:dyDescent="0.25">
      <c r="A456" t="s">
        <v>493</v>
      </c>
      <c r="B456" s="1">
        <v>45304</v>
      </c>
      <c r="C456" t="s">
        <v>14</v>
      </c>
      <c r="D456" t="s">
        <v>22</v>
      </c>
      <c r="E456" t="s">
        <v>16</v>
      </c>
      <c r="F456" t="s">
        <v>29</v>
      </c>
      <c r="G456">
        <v>5</v>
      </c>
      <c r="H456">
        <v>612</v>
      </c>
      <c r="I456">
        <v>3060</v>
      </c>
      <c r="J456">
        <v>1647.77</v>
      </c>
      <c r="K456">
        <v>1412.23</v>
      </c>
      <c r="L456" t="s">
        <v>18</v>
      </c>
      <c r="M456" t="s">
        <v>44</v>
      </c>
      <c r="N456" t="str">
        <f>TEXT(SalesData[[#This Row],[Order Date]],"MMM-YYYY")</f>
        <v>Jan-2024</v>
      </c>
      <c r="O456" s="2">
        <f>SalesData[[#This Row],[Profit]]/SalesData[[#This Row],[Sales]]</f>
        <v>0.46151307189542484</v>
      </c>
    </row>
    <row r="457" spans="1:15" x14ac:dyDescent="0.25">
      <c r="A457" t="s">
        <v>494</v>
      </c>
      <c r="B457" s="1">
        <v>45530</v>
      </c>
      <c r="C457" t="s">
        <v>41</v>
      </c>
      <c r="D457" t="s">
        <v>28</v>
      </c>
      <c r="E457" t="s">
        <v>16</v>
      </c>
      <c r="F457" t="s">
        <v>64</v>
      </c>
      <c r="G457">
        <v>8</v>
      </c>
      <c r="H457">
        <v>848</v>
      </c>
      <c r="I457">
        <v>6784</v>
      </c>
      <c r="J457">
        <v>4012.46</v>
      </c>
      <c r="K457">
        <v>2771.54</v>
      </c>
      <c r="L457" t="s">
        <v>25</v>
      </c>
      <c r="M457" t="s">
        <v>26</v>
      </c>
      <c r="N457" t="str">
        <f>TEXT(SalesData[[#This Row],[Order Date]],"MMM-YYYY")</f>
        <v>Aug-2024</v>
      </c>
      <c r="O457" s="2">
        <f>SalesData[[#This Row],[Profit]]/SalesData[[#This Row],[Sales]]</f>
        <v>0.40854068396226417</v>
      </c>
    </row>
    <row r="458" spans="1:15" x14ac:dyDescent="0.25">
      <c r="A458" t="s">
        <v>495</v>
      </c>
      <c r="B458" s="1">
        <v>45328</v>
      </c>
      <c r="C458" t="s">
        <v>41</v>
      </c>
      <c r="D458" t="s">
        <v>42</v>
      </c>
      <c r="E458" t="s">
        <v>34</v>
      </c>
      <c r="F458" t="s">
        <v>35</v>
      </c>
      <c r="G458">
        <v>9</v>
      </c>
      <c r="H458">
        <v>664</v>
      </c>
      <c r="I458">
        <v>5976</v>
      </c>
      <c r="J458">
        <v>4101.9799999999996</v>
      </c>
      <c r="K458">
        <v>1874.02</v>
      </c>
      <c r="L458" t="s">
        <v>25</v>
      </c>
      <c r="M458" t="s">
        <v>30</v>
      </c>
      <c r="N458" t="str">
        <f>TEXT(SalesData[[#This Row],[Order Date]],"MMM-YYYY")</f>
        <v>Feb-2024</v>
      </c>
      <c r="O458" s="2">
        <f>SalesData[[#This Row],[Profit]]/SalesData[[#This Row],[Sales]]</f>
        <v>0.31359103078982598</v>
      </c>
    </row>
    <row r="459" spans="1:15" x14ac:dyDescent="0.25">
      <c r="A459" t="s">
        <v>496</v>
      </c>
      <c r="B459" s="1">
        <v>45356</v>
      </c>
      <c r="C459" t="s">
        <v>38</v>
      </c>
      <c r="D459" t="s">
        <v>15</v>
      </c>
      <c r="E459" t="s">
        <v>16</v>
      </c>
      <c r="F459" t="s">
        <v>29</v>
      </c>
      <c r="G459">
        <v>3</v>
      </c>
      <c r="H459">
        <v>284</v>
      </c>
      <c r="I459">
        <v>852</v>
      </c>
      <c r="J459">
        <v>637.14</v>
      </c>
      <c r="K459">
        <v>214.86</v>
      </c>
      <c r="L459" t="s">
        <v>25</v>
      </c>
      <c r="M459" t="s">
        <v>44</v>
      </c>
      <c r="N459" t="str">
        <f>TEXT(SalesData[[#This Row],[Order Date]],"MMM-YYYY")</f>
        <v>Mar-2024</v>
      </c>
      <c r="O459" s="2">
        <f>SalesData[[#This Row],[Profit]]/SalesData[[#This Row],[Sales]]</f>
        <v>0.2521830985915493</v>
      </c>
    </row>
    <row r="460" spans="1:15" x14ac:dyDescent="0.25">
      <c r="A460" t="s">
        <v>497</v>
      </c>
      <c r="B460" s="1">
        <v>45463</v>
      </c>
      <c r="C460" t="s">
        <v>14</v>
      </c>
      <c r="D460" t="s">
        <v>28</v>
      </c>
      <c r="E460" t="s">
        <v>16</v>
      </c>
      <c r="F460" t="s">
        <v>17</v>
      </c>
      <c r="G460">
        <v>1</v>
      </c>
      <c r="H460">
        <v>258</v>
      </c>
      <c r="I460">
        <v>258</v>
      </c>
      <c r="J460">
        <v>189.83</v>
      </c>
      <c r="K460">
        <v>68.17</v>
      </c>
      <c r="L460" t="s">
        <v>25</v>
      </c>
      <c r="M460" t="s">
        <v>44</v>
      </c>
      <c r="N460" t="str">
        <f>TEXT(SalesData[[#This Row],[Order Date]],"MMM-YYYY")</f>
        <v>Jun-2024</v>
      </c>
      <c r="O460" s="2">
        <f>SalesData[[#This Row],[Profit]]/SalesData[[#This Row],[Sales]]</f>
        <v>0.26422480620155042</v>
      </c>
    </row>
    <row r="461" spans="1:15" x14ac:dyDescent="0.25">
      <c r="A461" t="s">
        <v>498</v>
      </c>
      <c r="B461" s="1">
        <v>45360</v>
      </c>
      <c r="C461" t="s">
        <v>38</v>
      </c>
      <c r="D461" t="s">
        <v>22</v>
      </c>
      <c r="E461" t="s">
        <v>23</v>
      </c>
      <c r="F461" t="s">
        <v>43</v>
      </c>
      <c r="G461">
        <v>2</v>
      </c>
      <c r="H461">
        <v>938</v>
      </c>
      <c r="I461">
        <v>1876</v>
      </c>
      <c r="J461">
        <v>979.96</v>
      </c>
      <c r="K461">
        <v>896.04</v>
      </c>
      <c r="L461" t="s">
        <v>18</v>
      </c>
      <c r="M461" t="s">
        <v>30</v>
      </c>
      <c r="N461" t="str">
        <f>TEXT(SalesData[[#This Row],[Order Date]],"MMM-YYYY")</f>
        <v>Mar-2024</v>
      </c>
      <c r="O461" s="2">
        <f>SalesData[[#This Row],[Profit]]/SalesData[[#This Row],[Sales]]</f>
        <v>0.47763326226012792</v>
      </c>
    </row>
    <row r="462" spans="1:15" x14ac:dyDescent="0.25">
      <c r="A462" t="s">
        <v>499</v>
      </c>
      <c r="B462" s="1">
        <v>45576</v>
      </c>
      <c r="C462" t="s">
        <v>41</v>
      </c>
      <c r="D462" t="s">
        <v>15</v>
      </c>
      <c r="E462" t="s">
        <v>23</v>
      </c>
      <c r="F462" t="s">
        <v>39</v>
      </c>
      <c r="G462">
        <v>1</v>
      </c>
      <c r="H462">
        <v>312</v>
      </c>
      <c r="I462">
        <v>312</v>
      </c>
      <c r="J462">
        <v>235.32</v>
      </c>
      <c r="K462">
        <v>76.680000000000007</v>
      </c>
      <c r="L462" t="s">
        <v>25</v>
      </c>
      <c r="M462" t="s">
        <v>30</v>
      </c>
      <c r="N462" t="str">
        <f>TEXT(SalesData[[#This Row],[Order Date]],"MMM-YYYY")</f>
        <v>Oct-2024</v>
      </c>
      <c r="O462" s="2">
        <f>SalesData[[#This Row],[Profit]]/SalesData[[#This Row],[Sales]]</f>
        <v>0.2457692307692308</v>
      </c>
    </row>
    <row r="463" spans="1:15" x14ac:dyDescent="0.25">
      <c r="A463" t="s">
        <v>500</v>
      </c>
      <c r="B463" s="1">
        <v>45408</v>
      </c>
      <c r="C463" t="s">
        <v>14</v>
      </c>
      <c r="D463" t="s">
        <v>42</v>
      </c>
      <c r="E463" t="s">
        <v>34</v>
      </c>
      <c r="F463" t="s">
        <v>35</v>
      </c>
      <c r="G463">
        <v>10</v>
      </c>
      <c r="H463">
        <v>380</v>
      </c>
      <c r="I463">
        <v>3800</v>
      </c>
      <c r="J463">
        <v>2825.13</v>
      </c>
      <c r="K463">
        <v>974.87</v>
      </c>
      <c r="L463" t="s">
        <v>25</v>
      </c>
      <c r="M463" t="s">
        <v>19</v>
      </c>
      <c r="N463" t="str">
        <f>TEXT(SalesData[[#This Row],[Order Date]],"MMM-YYYY")</f>
        <v>Apr-2024</v>
      </c>
      <c r="O463" s="2">
        <f>SalesData[[#This Row],[Profit]]/SalesData[[#This Row],[Sales]]</f>
        <v>0.25654473684210527</v>
      </c>
    </row>
    <row r="464" spans="1:15" x14ac:dyDescent="0.25">
      <c r="A464" t="s">
        <v>501</v>
      </c>
      <c r="B464" s="1">
        <v>45341</v>
      </c>
      <c r="C464" t="s">
        <v>41</v>
      </c>
      <c r="D464" t="s">
        <v>15</v>
      </c>
      <c r="E464" t="s">
        <v>23</v>
      </c>
      <c r="F464" t="s">
        <v>43</v>
      </c>
      <c r="G464">
        <v>5</v>
      </c>
      <c r="H464">
        <v>26</v>
      </c>
      <c r="I464">
        <v>130</v>
      </c>
      <c r="J464">
        <v>66.02</v>
      </c>
      <c r="K464">
        <v>63.98</v>
      </c>
      <c r="L464" t="s">
        <v>18</v>
      </c>
      <c r="M464" t="s">
        <v>30</v>
      </c>
      <c r="N464" t="str">
        <f>TEXT(SalesData[[#This Row],[Order Date]],"MMM-YYYY")</f>
        <v>Feb-2024</v>
      </c>
      <c r="O464" s="2">
        <f>SalesData[[#This Row],[Profit]]/SalesData[[#This Row],[Sales]]</f>
        <v>0.49215384615384611</v>
      </c>
    </row>
    <row r="465" spans="1:15" x14ac:dyDescent="0.25">
      <c r="A465" t="s">
        <v>502</v>
      </c>
      <c r="B465" s="1">
        <v>45374</v>
      </c>
      <c r="C465" t="s">
        <v>21</v>
      </c>
      <c r="D465" t="s">
        <v>22</v>
      </c>
      <c r="E465" t="s">
        <v>16</v>
      </c>
      <c r="F465" t="s">
        <v>29</v>
      </c>
      <c r="G465">
        <v>5</v>
      </c>
      <c r="H465">
        <v>773</v>
      </c>
      <c r="I465">
        <v>3865</v>
      </c>
      <c r="J465">
        <v>2593.5300000000002</v>
      </c>
      <c r="K465">
        <v>1271.47</v>
      </c>
      <c r="L465" t="s">
        <v>18</v>
      </c>
      <c r="M465" t="s">
        <v>30</v>
      </c>
      <c r="N465" t="str">
        <f>TEXT(SalesData[[#This Row],[Order Date]],"MMM-YYYY")</f>
        <v>Mar-2024</v>
      </c>
      <c r="O465" s="2">
        <f>SalesData[[#This Row],[Profit]]/SalesData[[#This Row],[Sales]]</f>
        <v>0.32897024579560158</v>
      </c>
    </row>
    <row r="466" spans="1:15" x14ac:dyDescent="0.25">
      <c r="A466" t="s">
        <v>503</v>
      </c>
      <c r="B466" s="1">
        <v>45292</v>
      </c>
      <c r="C466" t="s">
        <v>41</v>
      </c>
      <c r="D466" t="s">
        <v>28</v>
      </c>
      <c r="E466" t="s">
        <v>34</v>
      </c>
      <c r="F466" t="s">
        <v>53</v>
      </c>
      <c r="G466">
        <v>4</v>
      </c>
      <c r="H466">
        <v>784</v>
      </c>
      <c r="I466">
        <v>3136</v>
      </c>
      <c r="J466">
        <v>2169.2399999999998</v>
      </c>
      <c r="K466">
        <v>966.76</v>
      </c>
      <c r="L466" t="s">
        <v>18</v>
      </c>
      <c r="M466" t="s">
        <v>30</v>
      </c>
      <c r="N466" t="str">
        <f>TEXT(SalesData[[#This Row],[Order Date]],"MMM-YYYY")</f>
        <v>Jan-2024</v>
      </c>
      <c r="O466" s="2">
        <f>SalesData[[#This Row],[Profit]]/SalesData[[#This Row],[Sales]]</f>
        <v>0.30827806122448981</v>
      </c>
    </row>
    <row r="467" spans="1:15" x14ac:dyDescent="0.25">
      <c r="A467" t="s">
        <v>504</v>
      </c>
      <c r="B467" s="1">
        <v>45418</v>
      </c>
      <c r="C467" t="s">
        <v>14</v>
      </c>
      <c r="D467" t="s">
        <v>15</v>
      </c>
      <c r="E467" t="s">
        <v>23</v>
      </c>
      <c r="F467" t="s">
        <v>24</v>
      </c>
      <c r="G467">
        <v>3</v>
      </c>
      <c r="H467">
        <v>259</v>
      </c>
      <c r="I467">
        <v>777</v>
      </c>
      <c r="J467">
        <v>509.75</v>
      </c>
      <c r="K467">
        <v>267.25</v>
      </c>
      <c r="L467" t="s">
        <v>18</v>
      </c>
      <c r="M467" t="s">
        <v>44</v>
      </c>
      <c r="N467" t="str">
        <f>TEXT(SalesData[[#This Row],[Order Date]],"MMM-YYYY")</f>
        <v>May-2024</v>
      </c>
      <c r="O467" s="2">
        <f>SalesData[[#This Row],[Profit]]/SalesData[[#This Row],[Sales]]</f>
        <v>0.34395109395109397</v>
      </c>
    </row>
    <row r="468" spans="1:15" x14ac:dyDescent="0.25">
      <c r="A468" t="s">
        <v>505</v>
      </c>
      <c r="B468" s="1">
        <v>45307</v>
      </c>
      <c r="C468" t="s">
        <v>41</v>
      </c>
      <c r="D468" t="s">
        <v>22</v>
      </c>
      <c r="E468" t="s">
        <v>16</v>
      </c>
      <c r="F468" t="s">
        <v>64</v>
      </c>
      <c r="G468">
        <v>6</v>
      </c>
      <c r="H468">
        <v>590</v>
      </c>
      <c r="I468">
        <v>3540</v>
      </c>
      <c r="J468">
        <v>2439.6</v>
      </c>
      <c r="K468">
        <v>1100.4000000000001</v>
      </c>
      <c r="L468" t="s">
        <v>18</v>
      </c>
      <c r="M468" t="s">
        <v>44</v>
      </c>
      <c r="N468" t="str">
        <f>TEXT(SalesData[[#This Row],[Order Date]],"MMM-YYYY")</f>
        <v>Jan-2024</v>
      </c>
      <c r="O468" s="2">
        <f>SalesData[[#This Row],[Profit]]/SalesData[[#This Row],[Sales]]</f>
        <v>0.31084745762711868</v>
      </c>
    </row>
    <row r="469" spans="1:15" x14ac:dyDescent="0.25">
      <c r="A469" t="s">
        <v>506</v>
      </c>
      <c r="B469" s="1">
        <v>45437</v>
      </c>
      <c r="C469" t="s">
        <v>21</v>
      </c>
      <c r="D469" t="s">
        <v>22</v>
      </c>
      <c r="E469" t="s">
        <v>34</v>
      </c>
      <c r="F469" t="s">
        <v>47</v>
      </c>
      <c r="G469">
        <v>10</v>
      </c>
      <c r="H469">
        <v>215</v>
      </c>
      <c r="I469">
        <v>2150</v>
      </c>
      <c r="J469">
        <v>1436.45</v>
      </c>
      <c r="K469">
        <v>713.55</v>
      </c>
      <c r="L469" t="s">
        <v>25</v>
      </c>
      <c r="M469" t="s">
        <v>30</v>
      </c>
      <c r="N469" t="str">
        <f>TEXT(SalesData[[#This Row],[Order Date]],"MMM-YYYY")</f>
        <v>May-2024</v>
      </c>
      <c r="O469" s="2">
        <f>SalesData[[#This Row],[Profit]]/SalesData[[#This Row],[Sales]]</f>
        <v>0.33188372093023255</v>
      </c>
    </row>
    <row r="470" spans="1:15" x14ac:dyDescent="0.25">
      <c r="A470" t="s">
        <v>507</v>
      </c>
      <c r="B470" s="1">
        <v>45300</v>
      </c>
      <c r="C470" t="s">
        <v>41</v>
      </c>
      <c r="D470" t="s">
        <v>15</v>
      </c>
      <c r="E470" t="s">
        <v>34</v>
      </c>
      <c r="F470" t="s">
        <v>35</v>
      </c>
      <c r="G470">
        <v>6</v>
      </c>
      <c r="H470">
        <v>63</v>
      </c>
      <c r="I470">
        <v>378</v>
      </c>
      <c r="J470">
        <v>251.71</v>
      </c>
      <c r="K470">
        <v>126.29</v>
      </c>
      <c r="L470" t="s">
        <v>25</v>
      </c>
      <c r="M470" t="s">
        <v>19</v>
      </c>
      <c r="N470" t="str">
        <f>TEXT(SalesData[[#This Row],[Order Date]],"MMM-YYYY")</f>
        <v>Jan-2024</v>
      </c>
      <c r="O470" s="2">
        <f>SalesData[[#This Row],[Profit]]/SalesData[[#This Row],[Sales]]</f>
        <v>0.33410052910052912</v>
      </c>
    </row>
    <row r="471" spans="1:15" x14ac:dyDescent="0.25">
      <c r="A471" t="s">
        <v>508</v>
      </c>
      <c r="B471" s="1">
        <v>45547</v>
      </c>
      <c r="C471" t="s">
        <v>41</v>
      </c>
      <c r="D471" t="s">
        <v>28</v>
      </c>
      <c r="E471" t="s">
        <v>23</v>
      </c>
      <c r="F471" t="s">
        <v>43</v>
      </c>
      <c r="G471">
        <v>7</v>
      </c>
      <c r="H471">
        <v>810</v>
      </c>
      <c r="I471">
        <v>5670</v>
      </c>
      <c r="J471">
        <v>3050.38</v>
      </c>
      <c r="K471">
        <v>2619.62</v>
      </c>
      <c r="L471" t="s">
        <v>18</v>
      </c>
      <c r="M471" t="s">
        <v>19</v>
      </c>
      <c r="N471" t="str">
        <f>TEXT(SalesData[[#This Row],[Order Date]],"MMM-YYYY")</f>
        <v>Sep-2024</v>
      </c>
      <c r="O471" s="2">
        <f>SalesData[[#This Row],[Profit]]/SalesData[[#This Row],[Sales]]</f>
        <v>0.46201410934744264</v>
      </c>
    </row>
    <row r="472" spans="1:15" x14ac:dyDescent="0.25">
      <c r="A472" t="s">
        <v>509</v>
      </c>
      <c r="B472" s="1">
        <v>45375</v>
      </c>
      <c r="C472" t="s">
        <v>14</v>
      </c>
      <c r="D472" t="s">
        <v>28</v>
      </c>
      <c r="E472" t="s">
        <v>34</v>
      </c>
      <c r="F472" t="s">
        <v>53</v>
      </c>
      <c r="G472">
        <v>3</v>
      </c>
      <c r="H472">
        <v>346</v>
      </c>
      <c r="I472">
        <v>1038</v>
      </c>
      <c r="J472">
        <v>572.19000000000005</v>
      </c>
      <c r="K472">
        <v>465.81</v>
      </c>
      <c r="L472" t="s">
        <v>18</v>
      </c>
      <c r="M472" t="s">
        <v>44</v>
      </c>
      <c r="N472" t="str">
        <f>TEXT(SalesData[[#This Row],[Order Date]],"MMM-YYYY")</f>
        <v>Mar-2024</v>
      </c>
      <c r="O472" s="2">
        <f>SalesData[[#This Row],[Profit]]/SalesData[[#This Row],[Sales]]</f>
        <v>0.44875722543352603</v>
      </c>
    </row>
    <row r="473" spans="1:15" x14ac:dyDescent="0.25">
      <c r="A473" t="s">
        <v>510</v>
      </c>
      <c r="B473" s="1">
        <v>45577</v>
      </c>
      <c r="C473" t="s">
        <v>21</v>
      </c>
      <c r="D473" t="s">
        <v>28</v>
      </c>
      <c r="E473" t="s">
        <v>16</v>
      </c>
      <c r="F473" t="s">
        <v>29</v>
      </c>
      <c r="G473">
        <v>5</v>
      </c>
      <c r="H473">
        <v>638</v>
      </c>
      <c r="I473">
        <v>3190</v>
      </c>
      <c r="J473">
        <v>2170.29</v>
      </c>
      <c r="K473">
        <v>1019.71</v>
      </c>
      <c r="L473" t="s">
        <v>25</v>
      </c>
      <c r="M473" t="s">
        <v>30</v>
      </c>
      <c r="N473" t="str">
        <f>TEXT(SalesData[[#This Row],[Order Date]],"MMM-YYYY")</f>
        <v>Oct-2024</v>
      </c>
      <c r="O473" s="2">
        <f>SalesData[[#This Row],[Profit]]/SalesData[[#This Row],[Sales]]</f>
        <v>0.31965830721003136</v>
      </c>
    </row>
    <row r="474" spans="1:15" x14ac:dyDescent="0.25">
      <c r="A474" t="s">
        <v>511</v>
      </c>
      <c r="B474" s="1">
        <v>45443</v>
      </c>
      <c r="C474" t="s">
        <v>21</v>
      </c>
      <c r="D474" t="s">
        <v>15</v>
      </c>
      <c r="E474" t="s">
        <v>16</v>
      </c>
      <c r="F474" t="s">
        <v>64</v>
      </c>
      <c r="G474">
        <v>2</v>
      </c>
      <c r="H474">
        <v>414</v>
      </c>
      <c r="I474">
        <v>828</v>
      </c>
      <c r="J474">
        <v>457.29</v>
      </c>
      <c r="K474">
        <v>370.71</v>
      </c>
      <c r="L474" t="s">
        <v>18</v>
      </c>
      <c r="M474" t="s">
        <v>19</v>
      </c>
      <c r="N474" t="str">
        <f>TEXT(SalesData[[#This Row],[Order Date]],"MMM-YYYY")</f>
        <v>May-2024</v>
      </c>
      <c r="O474" s="2">
        <f>SalesData[[#This Row],[Profit]]/SalesData[[#This Row],[Sales]]</f>
        <v>0.44771739130434779</v>
      </c>
    </row>
    <row r="475" spans="1:15" x14ac:dyDescent="0.25">
      <c r="A475" t="s">
        <v>512</v>
      </c>
      <c r="B475" s="1">
        <v>45377</v>
      </c>
      <c r="C475" t="s">
        <v>38</v>
      </c>
      <c r="D475" t="s">
        <v>15</v>
      </c>
      <c r="E475" t="s">
        <v>16</v>
      </c>
      <c r="F475" t="s">
        <v>64</v>
      </c>
      <c r="G475">
        <v>6</v>
      </c>
      <c r="H475">
        <v>596</v>
      </c>
      <c r="I475">
        <v>3576</v>
      </c>
      <c r="J475">
        <v>2523.67</v>
      </c>
      <c r="K475">
        <v>1052.33</v>
      </c>
      <c r="L475" t="s">
        <v>18</v>
      </c>
      <c r="M475" t="s">
        <v>26</v>
      </c>
      <c r="N475" t="str">
        <f>TEXT(SalesData[[#This Row],[Order Date]],"MMM-YYYY")</f>
        <v>Mar-2024</v>
      </c>
      <c r="O475" s="2">
        <f>SalesData[[#This Row],[Profit]]/SalesData[[#This Row],[Sales]]</f>
        <v>0.29427572706935123</v>
      </c>
    </row>
    <row r="476" spans="1:15" x14ac:dyDescent="0.25">
      <c r="A476" t="s">
        <v>513</v>
      </c>
      <c r="B476" s="1">
        <v>45530</v>
      </c>
      <c r="C476" t="s">
        <v>38</v>
      </c>
      <c r="D476" t="s">
        <v>15</v>
      </c>
      <c r="E476" t="s">
        <v>23</v>
      </c>
      <c r="F476" t="s">
        <v>39</v>
      </c>
      <c r="G476">
        <v>9</v>
      </c>
      <c r="H476">
        <v>716</v>
      </c>
      <c r="I476">
        <v>6444</v>
      </c>
      <c r="J476">
        <v>3697.74</v>
      </c>
      <c r="K476">
        <v>2746.26</v>
      </c>
      <c r="L476" t="s">
        <v>18</v>
      </c>
      <c r="M476" t="s">
        <v>30</v>
      </c>
      <c r="N476" t="str">
        <f>TEXT(SalesData[[#This Row],[Order Date]],"MMM-YYYY")</f>
        <v>Aug-2024</v>
      </c>
      <c r="O476" s="2">
        <f>SalesData[[#This Row],[Profit]]/SalesData[[#This Row],[Sales]]</f>
        <v>0.42617318435754192</v>
      </c>
    </row>
    <row r="477" spans="1:15" x14ac:dyDescent="0.25">
      <c r="A477" t="s">
        <v>514</v>
      </c>
      <c r="B477" s="1">
        <v>45428</v>
      </c>
      <c r="C477" t="s">
        <v>21</v>
      </c>
      <c r="D477" t="s">
        <v>15</v>
      </c>
      <c r="E477" t="s">
        <v>16</v>
      </c>
      <c r="F477" t="s">
        <v>29</v>
      </c>
      <c r="G477">
        <v>5</v>
      </c>
      <c r="H477">
        <v>953</v>
      </c>
      <c r="I477">
        <v>4765</v>
      </c>
      <c r="J477">
        <v>3096.62</v>
      </c>
      <c r="K477">
        <v>1668.38</v>
      </c>
      <c r="L477" t="s">
        <v>25</v>
      </c>
      <c r="M477" t="s">
        <v>30</v>
      </c>
      <c r="N477" t="str">
        <f>TEXT(SalesData[[#This Row],[Order Date]],"MMM-YYYY")</f>
        <v>May-2024</v>
      </c>
      <c r="O477" s="2">
        <f>SalesData[[#This Row],[Profit]]/SalesData[[#This Row],[Sales]]</f>
        <v>0.35013221406086048</v>
      </c>
    </row>
    <row r="478" spans="1:15" x14ac:dyDescent="0.25">
      <c r="A478" t="s">
        <v>515</v>
      </c>
      <c r="B478" s="1">
        <v>45310</v>
      </c>
      <c r="C478" t="s">
        <v>21</v>
      </c>
      <c r="D478" t="s">
        <v>15</v>
      </c>
      <c r="E478" t="s">
        <v>23</v>
      </c>
      <c r="F478" t="s">
        <v>43</v>
      </c>
      <c r="G478">
        <v>8</v>
      </c>
      <c r="H478">
        <v>559</v>
      </c>
      <c r="I478">
        <v>4472</v>
      </c>
      <c r="J478">
        <v>3076.79</v>
      </c>
      <c r="K478">
        <v>1395.21</v>
      </c>
      <c r="L478" t="s">
        <v>25</v>
      </c>
      <c r="M478" t="s">
        <v>26</v>
      </c>
      <c r="N478" t="str">
        <f>TEXT(SalesData[[#This Row],[Order Date]],"MMM-YYYY")</f>
        <v>Jan-2024</v>
      </c>
      <c r="O478" s="2">
        <f>SalesData[[#This Row],[Profit]]/SalesData[[#This Row],[Sales]]</f>
        <v>0.31198792486583188</v>
      </c>
    </row>
    <row r="479" spans="1:15" x14ac:dyDescent="0.25">
      <c r="A479" t="s">
        <v>516</v>
      </c>
      <c r="B479" s="1">
        <v>45385</v>
      </c>
      <c r="C479" t="s">
        <v>38</v>
      </c>
      <c r="D479" t="s">
        <v>15</v>
      </c>
      <c r="E479" t="s">
        <v>34</v>
      </c>
      <c r="F479" t="s">
        <v>53</v>
      </c>
      <c r="G479">
        <v>4</v>
      </c>
      <c r="H479">
        <v>844</v>
      </c>
      <c r="I479">
        <v>3376</v>
      </c>
      <c r="J479">
        <v>2367.6799999999998</v>
      </c>
      <c r="K479">
        <v>1008.32</v>
      </c>
      <c r="L479" t="s">
        <v>18</v>
      </c>
      <c r="M479" t="s">
        <v>26</v>
      </c>
      <c r="N479" t="str">
        <f>TEXT(SalesData[[#This Row],[Order Date]],"MMM-YYYY")</f>
        <v>Apr-2024</v>
      </c>
      <c r="O479" s="2">
        <f>SalesData[[#This Row],[Profit]]/SalesData[[#This Row],[Sales]]</f>
        <v>0.29867298578199053</v>
      </c>
    </row>
    <row r="480" spans="1:15" x14ac:dyDescent="0.25">
      <c r="A480" t="s">
        <v>517</v>
      </c>
      <c r="B480" s="1">
        <v>45317</v>
      </c>
      <c r="C480" t="s">
        <v>14</v>
      </c>
      <c r="D480" t="s">
        <v>42</v>
      </c>
      <c r="E480" t="s">
        <v>34</v>
      </c>
      <c r="F480" t="s">
        <v>53</v>
      </c>
      <c r="G480">
        <v>7</v>
      </c>
      <c r="H480">
        <v>477</v>
      </c>
      <c r="I480">
        <v>3339</v>
      </c>
      <c r="J480">
        <v>2122.3000000000002</v>
      </c>
      <c r="K480">
        <v>1216.7</v>
      </c>
      <c r="L480" t="s">
        <v>25</v>
      </c>
      <c r="M480" t="s">
        <v>30</v>
      </c>
      <c r="N480" t="str">
        <f>TEXT(SalesData[[#This Row],[Order Date]],"MMM-YYYY")</f>
        <v>Jan-2024</v>
      </c>
      <c r="O480" s="2">
        <f>SalesData[[#This Row],[Profit]]/SalesData[[#This Row],[Sales]]</f>
        <v>0.3643905360886493</v>
      </c>
    </row>
    <row r="481" spans="1:15" x14ac:dyDescent="0.25">
      <c r="A481" t="s">
        <v>518</v>
      </c>
      <c r="B481" s="1">
        <v>45576</v>
      </c>
      <c r="C481" t="s">
        <v>14</v>
      </c>
      <c r="D481" t="s">
        <v>22</v>
      </c>
      <c r="E481" t="s">
        <v>23</v>
      </c>
      <c r="F481" t="s">
        <v>39</v>
      </c>
      <c r="G481">
        <v>1</v>
      </c>
      <c r="H481">
        <v>220</v>
      </c>
      <c r="I481">
        <v>220</v>
      </c>
      <c r="J481">
        <v>162.72999999999999</v>
      </c>
      <c r="K481">
        <v>57.27</v>
      </c>
      <c r="L481" t="s">
        <v>18</v>
      </c>
      <c r="M481" t="s">
        <v>19</v>
      </c>
      <c r="N481" t="str">
        <f>TEXT(SalesData[[#This Row],[Order Date]],"MMM-YYYY")</f>
        <v>Oct-2024</v>
      </c>
      <c r="O481" s="2">
        <f>SalesData[[#This Row],[Profit]]/SalesData[[#This Row],[Sales]]</f>
        <v>0.26031818181818184</v>
      </c>
    </row>
    <row r="482" spans="1:15" x14ac:dyDescent="0.25">
      <c r="A482" t="s">
        <v>519</v>
      </c>
      <c r="B482" s="1">
        <v>45587</v>
      </c>
      <c r="C482" t="s">
        <v>41</v>
      </c>
      <c r="D482" t="s">
        <v>42</v>
      </c>
      <c r="E482" t="s">
        <v>23</v>
      </c>
      <c r="F482" t="s">
        <v>24</v>
      </c>
      <c r="G482">
        <v>9</v>
      </c>
      <c r="H482">
        <v>936</v>
      </c>
      <c r="I482">
        <v>8424</v>
      </c>
      <c r="J482">
        <v>6144.72</v>
      </c>
      <c r="K482">
        <v>2279.2800000000002</v>
      </c>
      <c r="L482" t="s">
        <v>18</v>
      </c>
      <c r="M482" t="s">
        <v>19</v>
      </c>
      <c r="N482" t="str">
        <f>TEXT(SalesData[[#This Row],[Order Date]],"MMM-YYYY")</f>
        <v>Oct-2024</v>
      </c>
      <c r="O482" s="2">
        <f>SalesData[[#This Row],[Profit]]/SalesData[[#This Row],[Sales]]</f>
        <v>0.27056980056980057</v>
      </c>
    </row>
    <row r="483" spans="1:15" x14ac:dyDescent="0.25">
      <c r="A483" t="s">
        <v>520</v>
      </c>
      <c r="B483" s="1">
        <v>45507</v>
      </c>
      <c r="C483" t="s">
        <v>14</v>
      </c>
      <c r="D483" t="s">
        <v>22</v>
      </c>
      <c r="E483" t="s">
        <v>34</v>
      </c>
      <c r="F483" t="s">
        <v>35</v>
      </c>
      <c r="G483">
        <v>1</v>
      </c>
      <c r="H483">
        <v>476</v>
      </c>
      <c r="I483">
        <v>476</v>
      </c>
      <c r="J483">
        <v>344.11</v>
      </c>
      <c r="K483">
        <v>131.88999999999999</v>
      </c>
      <c r="L483" t="s">
        <v>18</v>
      </c>
      <c r="M483" t="s">
        <v>44</v>
      </c>
      <c r="N483" t="str">
        <f>TEXT(SalesData[[#This Row],[Order Date]],"MMM-YYYY")</f>
        <v>Aug-2024</v>
      </c>
      <c r="O483" s="2">
        <f>SalesData[[#This Row],[Profit]]/SalesData[[#This Row],[Sales]]</f>
        <v>0.27707983193277308</v>
      </c>
    </row>
    <row r="484" spans="1:15" x14ac:dyDescent="0.25">
      <c r="A484" t="s">
        <v>521</v>
      </c>
      <c r="B484" s="1">
        <v>45346</v>
      </c>
      <c r="C484" t="s">
        <v>21</v>
      </c>
      <c r="D484" t="s">
        <v>28</v>
      </c>
      <c r="E484" t="s">
        <v>34</v>
      </c>
      <c r="F484" t="s">
        <v>53</v>
      </c>
      <c r="G484">
        <v>9</v>
      </c>
      <c r="H484">
        <v>245</v>
      </c>
      <c r="I484">
        <v>2205</v>
      </c>
      <c r="J484">
        <v>1379.11</v>
      </c>
      <c r="K484">
        <v>825.89</v>
      </c>
      <c r="L484" t="s">
        <v>25</v>
      </c>
      <c r="M484" t="s">
        <v>26</v>
      </c>
      <c r="N484" t="str">
        <f>TEXT(SalesData[[#This Row],[Order Date]],"MMM-YYYY")</f>
        <v>Feb-2024</v>
      </c>
      <c r="O484" s="2">
        <f>SalesData[[#This Row],[Profit]]/SalesData[[#This Row],[Sales]]</f>
        <v>0.37455328798185938</v>
      </c>
    </row>
    <row r="485" spans="1:15" x14ac:dyDescent="0.25">
      <c r="A485" t="s">
        <v>522</v>
      </c>
      <c r="B485" s="1">
        <v>45295</v>
      </c>
      <c r="C485" t="s">
        <v>14</v>
      </c>
      <c r="D485" t="s">
        <v>22</v>
      </c>
      <c r="E485" t="s">
        <v>16</v>
      </c>
      <c r="F485" t="s">
        <v>29</v>
      </c>
      <c r="G485">
        <v>9</v>
      </c>
      <c r="H485">
        <v>425</v>
      </c>
      <c r="I485">
        <v>3825</v>
      </c>
      <c r="J485">
        <v>2801.63</v>
      </c>
      <c r="K485">
        <v>1023.37</v>
      </c>
      <c r="L485" t="s">
        <v>25</v>
      </c>
      <c r="M485" t="s">
        <v>44</v>
      </c>
      <c r="N485" t="str">
        <f>TEXT(SalesData[[#This Row],[Order Date]],"MMM-YYYY")</f>
        <v>Jan-2024</v>
      </c>
      <c r="O485" s="2">
        <f>SalesData[[#This Row],[Profit]]/SalesData[[#This Row],[Sales]]</f>
        <v>0.26754771241830066</v>
      </c>
    </row>
    <row r="486" spans="1:15" x14ac:dyDescent="0.25">
      <c r="A486" t="s">
        <v>523</v>
      </c>
      <c r="B486" s="1">
        <v>45390</v>
      </c>
      <c r="C486" t="s">
        <v>21</v>
      </c>
      <c r="D486" t="s">
        <v>42</v>
      </c>
      <c r="E486" t="s">
        <v>23</v>
      </c>
      <c r="F486" t="s">
        <v>39</v>
      </c>
      <c r="G486">
        <v>5</v>
      </c>
      <c r="H486">
        <v>746</v>
      </c>
      <c r="I486">
        <v>3730</v>
      </c>
      <c r="J486">
        <v>2366.14</v>
      </c>
      <c r="K486">
        <v>1363.86</v>
      </c>
      <c r="L486" t="s">
        <v>18</v>
      </c>
      <c r="M486" t="s">
        <v>30</v>
      </c>
      <c r="N486" t="str">
        <f>TEXT(SalesData[[#This Row],[Order Date]],"MMM-YYYY")</f>
        <v>Apr-2024</v>
      </c>
      <c r="O486" s="2">
        <f>SalesData[[#This Row],[Profit]]/SalesData[[#This Row],[Sales]]</f>
        <v>0.36564611260053614</v>
      </c>
    </row>
    <row r="487" spans="1:15" x14ac:dyDescent="0.25">
      <c r="A487" t="s">
        <v>524</v>
      </c>
      <c r="B487" s="1">
        <v>45483</v>
      </c>
      <c r="C487" t="s">
        <v>21</v>
      </c>
      <c r="D487" t="s">
        <v>42</v>
      </c>
      <c r="E487" t="s">
        <v>23</v>
      </c>
      <c r="F487" t="s">
        <v>43</v>
      </c>
      <c r="G487">
        <v>10</v>
      </c>
      <c r="H487">
        <v>331</v>
      </c>
      <c r="I487">
        <v>3310</v>
      </c>
      <c r="J487">
        <v>1847.63</v>
      </c>
      <c r="K487">
        <v>1462.37</v>
      </c>
      <c r="L487" t="s">
        <v>18</v>
      </c>
      <c r="M487" t="s">
        <v>19</v>
      </c>
      <c r="N487" t="str">
        <f>TEXT(SalesData[[#This Row],[Order Date]],"MMM-YYYY")</f>
        <v>Jul-2024</v>
      </c>
      <c r="O487" s="2">
        <f>SalesData[[#This Row],[Profit]]/SalesData[[#This Row],[Sales]]</f>
        <v>0.44180362537764345</v>
      </c>
    </row>
    <row r="488" spans="1:15" x14ac:dyDescent="0.25">
      <c r="A488" t="s">
        <v>525</v>
      </c>
      <c r="B488" s="1">
        <v>45550</v>
      </c>
      <c r="C488" t="s">
        <v>41</v>
      </c>
      <c r="D488" t="s">
        <v>42</v>
      </c>
      <c r="E488" t="s">
        <v>16</v>
      </c>
      <c r="F488" t="s">
        <v>17</v>
      </c>
      <c r="G488">
        <v>1</v>
      </c>
      <c r="H488">
        <v>661</v>
      </c>
      <c r="I488">
        <v>661</v>
      </c>
      <c r="J488">
        <v>485.46</v>
      </c>
      <c r="K488">
        <v>175.54</v>
      </c>
      <c r="L488" t="s">
        <v>18</v>
      </c>
      <c r="M488" t="s">
        <v>19</v>
      </c>
      <c r="N488" t="str">
        <f>TEXT(SalesData[[#This Row],[Order Date]],"MMM-YYYY")</f>
        <v>Sep-2024</v>
      </c>
      <c r="O488" s="2">
        <f>SalesData[[#This Row],[Profit]]/SalesData[[#This Row],[Sales]]</f>
        <v>0.26556732223903173</v>
      </c>
    </row>
    <row r="489" spans="1:15" x14ac:dyDescent="0.25">
      <c r="A489" t="s">
        <v>526</v>
      </c>
      <c r="B489" s="1">
        <v>45348</v>
      </c>
      <c r="C489" t="s">
        <v>14</v>
      </c>
      <c r="D489" t="s">
        <v>42</v>
      </c>
      <c r="E489" t="s">
        <v>34</v>
      </c>
      <c r="F489" t="s">
        <v>53</v>
      </c>
      <c r="G489">
        <v>2</v>
      </c>
      <c r="H489">
        <v>793</v>
      </c>
      <c r="I489">
        <v>1586</v>
      </c>
      <c r="J489">
        <v>1244.17</v>
      </c>
      <c r="K489">
        <v>341.83</v>
      </c>
      <c r="L489" t="s">
        <v>18</v>
      </c>
      <c r="M489" t="s">
        <v>30</v>
      </c>
      <c r="N489" t="str">
        <f>TEXT(SalesData[[#This Row],[Order Date]],"MMM-YYYY")</f>
        <v>Feb-2024</v>
      </c>
      <c r="O489" s="2">
        <f>SalesData[[#This Row],[Profit]]/SalesData[[#This Row],[Sales]]</f>
        <v>0.21552963430012609</v>
      </c>
    </row>
    <row r="490" spans="1:15" x14ac:dyDescent="0.25">
      <c r="A490" t="s">
        <v>527</v>
      </c>
      <c r="B490" s="1">
        <v>45453</v>
      </c>
      <c r="C490" t="s">
        <v>21</v>
      </c>
      <c r="D490" t="s">
        <v>42</v>
      </c>
      <c r="E490" t="s">
        <v>23</v>
      </c>
      <c r="F490" t="s">
        <v>24</v>
      </c>
      <c r="G490">
        <v>10</v>
      </c>
      <c r="H490">
        <v>949</v>
      </c>
      <c r="I490">
        <v>9490</v>
      </c>
      <c r="J490">
        <v>7206.61</v>
      </c>
      <c r="K490">
        <v>2283.39</v>
      </c>
      <c r="L490" t="s">
        <v>18</v>
      </c>
      <c r="M490" t="s">
        <v>19</v>
      </c>
      <c r="N490" t="str">
        <f>TEXT(SalesData[[#This Row],[Order Date]],"MMM-YYYY")</f>
        <v>Jun-2024</v>
      </c>
      <c r="O490" s="2">
        <f>SalesData[[#This Row],[Profit]]/SalesData[[#This Row],[Sales]]</f>
        <v>0.24061011591148576</v>
      </c>
    </row>
    <row r="491" spans="1:15" x14ac:dyDescent="0.25">
      <c r="A491" t="s">
        <v>528</v>
      </c>
      <c r="B491" s="1">
        <v>45296</v>
      </c>
      <c r="C491" t="s">
        <v>21</v>
      </c>
      <c r="D491" t="s">
        <v>15</v>
      </c>
      <c r="E491" t="s">
        <v>23</v>
      </c>
      <c r="F491" t="s">
        <v>24</v>
      </c>
      <c r="G491">
        <v>7</v>
      </c>
      <c r="H491">
        <v>527</v>
      </c>
      <c r="I491">
        <v>3689</v>
      </c>
      <c r="J491">
        <v>2409.2800000000002</v>
      </c>
      <c r="K491">
        <v>1279.72</v>
      </c>
      <c r="L491" t="s">
        <v>25</v>
      </c>
      <c r="M491" t="s">
        <v>44</v>
      </c>
      <c r="N491" t="str">
        <f>TEXT(SalesData[[#This Row],[Order Date]],"MMM-YYYY")</f>
        <v>Jan-2024</v>
      </c>
      <c r="O491" s="2">
        <f>SalesData[[#This Row],[Profit]]/SalesData[[#This Row],[Sales]]</f>
        <v>0.34690159934941717</v>
      </c>
    </row>
    <row r="492" spans="1:15" x14ac:dyDescent="0.25">
      <c r="A492" t="s">
        <v>529</v>
      </c>
      <c r="B492" s="1">
        <v>45585</v>
      </c>
      <c r="C492" t="s">
        <v>14</v>
      </c>
      <c r="D492" t="s">
        <v>42</v>
      </c>
      <c r="E492" t="s">
        <v>16</v>
      </c>
      <c r="F492" t="s">
        <v>64</v>
      </c>
      <c r="G492">
        <v>3</v>
      </c>
      <c r="H492">
        <v>342</v>
      </c>
      <c r="I492">
        <v>1026</v>
      </c>
      <c r="J492">
        <v>692.18</v>
      </c>
      <c r="K492">
        <v>333.82</v>
      </c>
      <c r="L492" t="s">
        <v>18</v>
      </c>
      <c r="M492" t="s">
        <v>44</v>
      </c>
      <c r="N492" t="str">
        <f>TEXT(SalesData[[#This Row],[Order Date]],"MMM-YYYY")</f>
        <v>Oct-2024</v>
      </c>
      <c r="O492" s="2">
        <f>SalesData[[#This Row],[Profit]]/SalesData[[#This Row],[Sales]]</f>
        <v>0.32536062378167641</v>
      </c>
    </row>
    <row r="493" spans="1:15" x14ac:dyDescent="0.25">
      <c r="A493" t="s">
        <v>530</v>
      </c>
      <c r="B493" s="1">
        <v>45386</v>
      </c>
      <c r="C493" t="s">
        <v>41</v>
      </c>
      <c r="D493" t="s">
        <v>42</v>
      </c>
      <c r="E493" t="s">
        <v>34</v>
      </c>
      <c r="F493" t="s">
        <v>35</v>
      </c>
      <c r="G493">
        <v>5</v>
      </c>
      <c r="H493">
        <v>300</v>
      </c>
      <c r="I493">
        <v>1500</v>
      </c>
      <c r="J493">
        <v>816.11</v>
      </c>
      <c r="K493">
        <v>683.89</v>
      </c>
      <c r="L493" t="s">
        <v>25</v>
      </c>
      <c r="M493" t="s">
        <v>44</v>
      </c>
      <c r="N493" t="str">
        <f>TEXT(SalesData[[#This Row],[Order Date]],"MMM-YYYY")</f>
        <v>Apr-2024</v>
      </c>
      <c r="O493" s="2">
        <f>SalesData[[#This Row],[Profit]]/SalesData[[#This Row],[Sales]]</f>
        <v>0.45592666666666665</v>
      </c>
    </row>
    <row r="494" spans="1:15" x14ac:dyDescent="0.25">
      <c r="A494" t="s">
        <v>531</v>
      </c>
      <c r="B494" s="1">
        <v>45403</v>
      </c>
      <c r="C494" t="s">
        <v>21</v>
      </c>
      <c r="D494" t="s">
        <v>15</v>
      </c>
      <c r="E494" t="s">
        <v>23</v>
      </c>
      <c r="F494" t="s">
        <v>39</v>
      </c>
      <c r="G494">
        <v>1</v>
      </c>
      <c r="H494">
        <v>787</v>
      </c>
      <c r="I494">
        <v>787</v>
      </c>
      <c r="J494">
        <v>477.47</v>
      </c>
      <c r="K494">
        <v>309.52999999999997</v>
      </c>
      <c r="L494" t="s">
        <v>18</v>
      </c>
      <c r="M494" t="s">
        <v>44</v>
      </c>
      <c r="N494" t="str">
        <f>TEXT(SalesData[[#This Row],[Order Date]],"MMM-YYYY")</f>
        <v>Apr-2024</v>
      </c>
      <c r="O494" s="2">
        <f>SalesData[[#This Row],[Profit]]/SalesData[[#This Row],[Sales]]</f>
        <v>0.39330368487928841</v>
      </c>
    </row>
    <row r="495" spans="1:15" x14ac:dyDescent="0.25">
      <c r="A495" t="s">
        <v>532</v>
      </c>
      <c r="B495" s="1">
        <v>45548</v>
      </c>
      <c r="C495" t="s">
        <v>14</v>
      </c>
      <c r="D495" t="s">
        <v>22</v>
      </c>
      <c r="E495" t="s">
        <v>16</v>
      </c>
      <c r="F495" t="s">
        <v>64</v>
      </c>
      <c r="G495">
        <v>6</v>
      </c>
      <c r="H495">
        <v>30</v>
      </c>
      <c r="I495">
        <v>180</v>
      </c>
      <c r="J495">
        <v>124.5</v>
      </c>
      <c r="K495">
        <v>55.5</v>
      </c>
      <c r="L495" t="s">
        <v>18</v>
      </c>
      <c r="M495" t="s">
        <v>44</v>
      </c>
      <c r="N495" t="str">
        <f>TEXT(SalesData[[#This Row],[Order Date]],"MMM-YYYY")</f>
        <v>Sep-2024</v>
      </c>
      <c r="O495" s="2">
        <f>SalesData[[#This Row],[Profit]]/SalesData[[#This Row],[Sales]]</f>
        <v>0.30833333333333335</v>
      </c>
    </row>
    <row r="496" spans="1:15" x14ac:dyDescent="0.25">
      <c r="A496" t="s">
        <v>533</v>
      </c>
      <c r="B496" s="1">
        <v>45514</v>
      </c>
      <c r="C496" t="s">
        <v>38</v>
      </c>
      <c r="D496" t="s">
        <v>42</v>
      </c>
      <c r="E496" t="s">
        <v>34</v>
      </c>
      <c r="F496" t="s">
        <v>47</v>
      </c>
      <c r="G496">
        <v>9</v>
      </c>
      <c r="H496">
        <v>569</v>
      </c>
      <c r="I496">
        <v>5121</v>
      </c>
      <c r="J496">
        <v>2735.91</v>
      </c>
      <c r="K496">
        <v>2385.09</v>
      </c>
      <c r="L496" t="s">
        <v>18</v>
      </c>
      <c r="M496" t="s">
        <v>19</v>
      </c>
      <c r="N496" t="str">
        <f>TEXT(SalesData[[#This Row],[Order Date]],"MMM-YYYY")</f>
        <v>Aug-2024</v>
      </c>
      <c r="O496" s="2">
        <f>SalesData[[#This Row],[Profit]]/SalesData[[#This Row],[Sales]]</f>
        <v>0.46574692442882254</v>
      </c>
    </row>
    <row r="497" spans="1:15" x14ac:dyDescent="0.25">
      <c r="A497" t="s">
        <v>534</v>
      </c>
      <c r="B497" s="1">
        <v>45325</v>
      </c>
      <c r="C497" t="s">
        <v>21</v>
      </c>
      <c r="D497" t="s">
        <v>22</v>
      </c>
      <c r="E497" t="s">
        <v>16</v>
      </c>
      <c r="F497" t="s">
        <v>29</v>
      </c>
      <c r="G497">
        <v>2</v>
      </c>
      <c r="H497">
        <v>549</v>
      </c>
      <c r="I497">
        <v>1098</v>
      </c>
      <c r="J497">
        <v>690.05</v>
      </c>
      <c r="K497">
        <v>407.95</v>
      </c>
      <c r="L497" t="s">
        <v>18</v>
      </c>
      <c r="M497" t="s">
        <v>26</v>
      </c>
      <c r="N497" t="str">
        <f>TEXT(SalesData[[#This Row],[Order Date]],"MMM-YYYY")</f>
        <v>Feb-2024</v>
      </c>
      <c r="O497" s="2">
        <f>SalesData[[#This Row],[Profit]]/SalesData[[#This Row],[Sales]]</f>
        <v>0.37153916211293259</v>
      </c>
    </row>
    <row r="498" spans="1:15" x14ac:dyDescent="0.25">
      <c r="A498" t="s">
        <v>535</v>
      </c>
      <c r="B498" s="1">
        <v>45490</v>
      </c>
      <c r="C498" t="s">
        <v>21</v>
      </c>
      <c r="D498" t="s">
        <v>22</v>
      </c>
      <c r="E498" t="s">
        <v>34</v>
      </c>
      <c r="F498" t="s">
        <v>53</v>
      </c>
      <c r="G498">
        <v>4</v>
      </c>
      <c r="H498">
        <v>626</v>
      </c>
      <c r="I498">
        <v>2504</v>
      </c>
      <c r="J498">
        <v>1587.07</v>
      </c>
      <c r="K498">
        <v>916.93</v>
      </c>
      <c r="L498" t="s">
        <v>18</v>
      </c>
      <c r="M498" t="s">
        <v>19</v>
      </c>
      <c r="N498" t="str">
        <f>TEXT(SalesData[[#This Row],[Order Date]],"MMM-YYYY")</f>
        <v>Jul-2024</v>
      </c>
      <c r="O498" s="2">
        <f>SalesData[[#This Row],[Profit]]/SalesData[[#This Row],[Sales]]</f>
        <v>0.36618610223642173</v>
      </c>
    </row>
    <row r="499" spans="1:15" x14ac:dyDescent="0.25">
      <c r="A499" t="s">
        <v>536</v>
      </c>
      <c r="B499" s="1">
        <v>45477</v>
      </c>
      <c r="C499" t="s">
        <v>38</v>
      </c>
      <c r="D499" t="s">
        <v>15</v>
      </c>
      <c r="E499" t="s">
        <v>23</v>
      </c>
      <c r="F499" t="s">
        <v>39</v>
      </c>
      <c r="G499">
        <v>6</v>
      </c>
      <c r="H499">
        <v>916</v>
      </c>
      <c r="I499">
        <v>5496</v>
      </c>
      <c r="J499">
        <v>3900.63</v>
      </c>
      <c r="K499">
        <v>1595.37</v>
      </c>
      <c r="L499" t="s">
        <v>18</v>
      </c>
      <c r="M499" t="s">
        <v>19</v>
      </c>
      <c r="N499" t="str">
        <f>TEXT(SalesData[[#This Row],[Order Date]],"MMM-YYYY")</f>
        <v>Jul-2024</v>
      </c>
      <c r="O499" s="2">
        <f>SalesData[[#This Row],[Profit]]/SalesData[[#This Row],[Sales]]</f>
        <v>0.29027838427947594</v>
      </c>
    </row>
    <row r="500" spans="1:15" x14ac:dyDescent="0.25">
      <c r="A500" t="s">
        <v>537</v>
      </c>
      <c r="B500" s="1">
        <v>45478</v>
      </c>
      <c r="C500" t="s">
        <v>38</v>
      </c>
      <c r="D500" t="s">
        <v>15</v>
      </c>
      <c r="E500" t="s">
        <v>23</v>
      </c>
      <c r="F500" t="s">
        <v>43</v>
      </c>
      <c r="G500">
        <v>3</v>
      </c>
      <c r="H500">
        <v>643</v>
      </c>
      <c r="I500">
        <v>1929</v>
      </c>
      <c r="J500">
        <v>1025.6199999999999</v>
      </c>
      <c r="K500">
        <v>903.38</v>
      </c>
      <c r="L500" t="s">
        <v>25</v>
      </c>
      <c r="M500" t="s">
        <v>30</v>
      </c>
      <c r="N500" t="str">
        <f>TEXT(SalesData[[#This Row],[Order Date]],"MMM-YYYY")</f>
        <v>Jul-2024</v>
      </c>
      <c r="O500" s="2">
        <f>SalesData[[#This Row],[Profit]]/SalesData[[#This Row],[Sales]]</f>
        <v>0.46831518921721099</v>
      </c>
    </row>
    <row r="501" spans="1:15" x14ac:dyDescent="0.25">
      <c r="A501" t="s">
        <v>538</v>
      </c>
      <c r="B501" s="1">
        <v>45383</v>
      </c>
      <c r="C501" t="s">
        <v>14</v>
      </c>
      <c r="D501" t="s">
        <v>22</v>
      </c>
      <c r="E501" t="s">
        <v>34</v>
      </c>
      <c r="F501" t="s">
        <v>47</v>
      </c>
      <c r="G501">
        <v>1</v>
      </c>
      <c r="H501">
        <v>512</v>
      </c>
      <c r="I501">
        <v>512</v>
      </c>
      <c r="J501">
        <v>330.65</v>
      </c>
      <c r="K501">
        <v>181.35</v>
      </c>
      <c r="L501" t="s">
        <v>25</v>
      </c>
      <c r="M501" t="s">
        <v>44</v>
      </c>
      <c r="N501" t="str">
        <f>TEXT(SalesData[[#This Row],[Order Date]],"MMM-YYYY")</f>
        <v>Apr-2024</v>
      </c>
      <c r="O501" s="2">
        <f>SalesData[[#This Row],[Profit]]/SalesData[[#This Row],[Sales]]</f>
        <v>0.35419921874999999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545B9-26E3-4A51-8882-ABD431BE8274}">
  <dimension ref="A2:B6"/>
  <sheetViews>
    <sheetView workbookViewId="0">
      <selection activeCell="B3" sqref="B3"/>
    </sheetView>
  </sheetViews>
  <sheetFormatPr defaultRowHeight="15" x14ac:dyDescent="0.25"/>
  <cols>
    <col min="1" max="1" width="22.28515625" customWidth="1"/>
    <col min="2" max="2" width="15.5703125" customWidth="1"/>
  </cols>
  <sheetData>
    <row r="2" spans="1:2" ht="15.75" x14ac:dyDescent="0.25">
      <c r="A2" s="4" t="s">
        <v>541</v>
      </c>
      <c r="B2" s="5">
        <f>SUM(SalesData[Sales])</f>
        <v>1387561</v>
      </c>
    </row>
    <row r="3" spans="1:2" ht="15.75" x14ac:dyDescent="0.25">
      <c r="A3" s="4" t="s">
        <v>542</v>
      </c>
      <c r="B3" s="5">
        <f>SUM(SalesData[Profit])</f>
        <v>481092.18000000023</v>
      </c>
    </row>
    <row r="4" spans="1:2" ht="15.75" x14ac:dyDescent="0.25">
      <c r="A4" s="4" t="s">
        <v>540</v>
      </c>
      <c r="B4" s="6">
        <f>B3/B2</f>
        <v>0.34671785961121726</v>
      </c>
    </row>
    <row r="5" spans="1:2" ht="15.75" x14ac:dyDescent="0.25">
      <c r="A5" s="4" t="s">
        <v>543</v>
      </c>
      <c r="B5" s="5">
        <f>AVERAGE(SalesData[Sales])</f>
        <v>2775.1219999999998</v>
      </c>
    </row>
    <row r="6" spans="1:2" ht="15.75" x14ac:dyDescent="0.25">
      <c r="A6" s="4" t="s">
        <v>544</v>
      </c>
      <c r="B6" s="7">
        <f>COUNTA(SalesData[Order ID])</f>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BED0-ED58-4708-A2AF-606C6FA24E5D}">
  <dimension ref="A1:E23"/>
  <sheetViews>
    <sheetView topLeftCell="A2" workbookViewId="0">
      <selection activeCell="G13" sqref="G13"/>
    </sheetView>
  </sheetViews>
  <sheetFormatPr defaultRowHeight="15" x14ac:dyDescent="0.25"/>
  <cols>
    <col min="1" max="1" width="13.140625" bestFit="1" customWidth="1"/>
    <col min="2" max="2" width="15" customWidth="1"/>
    <col min="4" max="4" width="13.140625" bestFit="1" customWidth="1"/>
    <col min="5" max="5" width="13.42578125" bestFit="1" customWidth="1"/>
  </cols>
  <sheetData>
    <row r="1" spans="1:5" x14ac:dyDescent="0.25">
      <c r="A1" s="13" t="s">
        <v>548</v>
      </c>
      <c r="B1" s="13"/>
      <c r="D1" s="13" t="s">
        <v>561</v>
      </c>
      <c r="E1" s="13"/>
    </row>
    <row r="2" spans="1:5" x14ac:dyDescent="0.25">
      <c r="A2" s="8" t="s">
        <v>545</v>
      </c>
      <c r="B2" t="s">
        <v>547</v>
      </c>
      <c r="D2" s="8" t="s">
        <v>545</v>
      </c>
      <c r="E2" t="s">
        <v>547</v>
      </c>
    </row>
    <row r="3" spans="1:5" x14ac:dyDescent="0.25">
      <c r="A3" s="9" t="s">
        <v>16</v>
      </c>
      <c r="B3" s="3">
        <v>503944</v>
      </c>
      <c r="D3" s="9" t="s">
        <v>554</v>
      </c>
      <c r="E3" s="3">
        <v>157643</v>
      </c>
    </row>
    <row r="4" spans="1:5" x14ac:dyDescent="0.25">
      <c r="A4" s="9" t="s">
        <v>23</v>
      </c>
      <c r="B4" s="3">
        <v>451876</v>
      </c>
      <c r="D4" s="9" t="s">
        <v>553</v>
      </c>
      <c r="E4" s="3">
        <v>154825</v>
      </c>
    </row>
    <row r="5" spans="1:5" x14ac:dyDescent="0.25">
      <c r="A5" s="9" t="s">
        <v>34</v>
      </c>
      <c r="B5" s="3">
        <v>431741</v>
      </c>
      <c r="D5" s="9" t="s">
        <v>557</v>
      </c>
      <c r="E5" s="3">
        <v>164835</v>
      </c>
    </row>
    <row r="6" spans="1:5" x14ac:dyDescent="0.25">
      <c r="A6" s="9" t="s">
        <v>546</v>
      </c>
      <c r="B6" s="3">
        <v>1387561</v>
      </c>
      <c r="D6" s="9" t="s">
        <v>551</v>
      </c>
      <c r="E6" s="3">
        <v>112920</v>
      </c>
    </row>
    <row r="7" spans="1:5" x14ac:dyDescent="0.25">
      <c r="D7" s="9" t="s">
        <v>558</v>
      </c>
      <c r="E7" s="3">
        <v>110195</v>
      </c>
    </row>
    <row r="8" spans="1:5" x14ac:dyDescent="0.25">
      <c r="A8" s="13" t="s">
        <v>550</v>
      </c>
      <c r="B8" s="13"/>
      <c r="D8" s="9" t="s">
        <v>556</v>
      </c>
      <c r="E8" s="3">
        <v>128932</v>
      </c>
    </row>
    <row r="9" spans="1:5" x14ac:dyDescent="0.25">
      <c r="A9" s="8" t="s">
        <v>545</v>
      </c>
      <c r="B9" t="s">
        <v>549</v>
      </c>
      <c r="D9" s="9" t="s">
        <v>555</v>
      </c>
      <c r="E9" s="3">
        <v>129419</v>
      </c>
    </row>
    <row r="10" spans="1:5" x14ac:dyDescent="0.25">
      <c r="A10" s="9" t="s">
        <v>41</v>
      </c>
      <c r="B10" s="3">
        <v>128535.26999999999</v>
      </c>
      <c r="D10" s="9" t="s">
        <v>552</v>
      </c>
      <c r="E10" s="3">
        <v>161040</v>
      </c>
    </row>
    <row r="11" spans="1:5" x14ac:dyDescent="0.25">
      <c r="A11" s="9" t="s">
        <v>21</v>
      </c>
      <c r="B11" s="3">
        <v>117487.90999999997</v>
      </c>
      <c r="D11" s="9" t="s">
        <v>560</v>
      </c>
      <c r="E11" s="3">
        <v>116139</v>
      </c>
    </row>
    <row r="12" spans="1:5" x14ac:dyDescent="0.25">
      <c r="A12" s="9" t="s">
        <v>14</v>
      </c>
      <c r="B12" s="3">
        <v>114481.98000000001</v>
      </c>
      <c r="D12" s="9" t="s">
        <v>559</v>
      </c>
      <c r="E12" s="3">
        <v>151613</v>
      </c>
    </row>
    <row r="13" spans="1:5" x14ac:dyDescent="0.25">
      <c r="A13" s="9" t="s">
        <v>38</v>
      </c>
      <c r="B13" s="3">
        <v>120587.02000000002</v>
      </c>
      <c r="D13" s="9" t="s">
        <v>546</v>
      </c>
      <c r="E13" s="3">
        <v>1387561</v>
      </c>
    </row>
    <row r="14" spans="1:5" x14ac:dyDescent="0.25">
      <c r="A14" s="9" t="s">
        <v>546</v>
      </c>
      <c r="B14" s="3">
        <v>481092.18</v>
      </c>
    </row>
    <row r="16" spans="1:5" x14ac:dyDescent="0.25">
      <c r="A16" s="13" t="s">
        <v>562</v>
      </c>
      <c r="B16" s="13"/>
    </row>
    <row r="17" spans="1:2" x14ac:dyDescent="0.25">
      <c r="A17" s="8" t="s">
        <v>545</v>
      </c>
      <c r="B17" t="s">
        <v>547</v>
      </c>
    </row>
    <row r="18" spans="1:2" x14ac:dyDescent="0.25">
      <c r="A18" s="9" t="s">
        <v>47</v>
      </c>
      <c r="B18" s="3">
        <v>158773</v>
      </c>
    </row>
    <row r="19" spans="1:2" x14ac:dyDescent="0.25">
      <c r="A19" s="9" t="s">
        <v>24</v>
      </c>
      <c r="B19" s="3">
        <v>170175</v>
      </c>
    </row>
    <row r="20" spans="1:2" x14ac:dyDescent="0.25">
      <c r="A20" s="9" t="s">
        <v>29</v>
      </c>
      <c r="B20" s="3">
        <v>192592</v>
      </c>
    </row>
    <row r="21" spans="1:2" x14ac:dyDescent="0.25">
      <c r="A21" s="9" t="s">
        <v>17</v>
      </c>
      <c r="B21" s="3">
        <v>165358</v>
      </c>
    </row>
    <row r="22" spans="1:2" x14ac:dyDescent="0.25">
      <c r="A22" s="9" t="s">
        <v>64</v>
      </c>
      <c r="B22" s="3">
        <v>145994</v>
      </c>
    </row>
    <row r="23" spans="1:2" x14ac:dyDescent="0.25">
      <c r="A23" s="9" t="s">
        <v>546</v>
      </c>
      <c r="B23" s="3">
        <v>832892</v>
      </c>
    </row>
  </sheetData>
  <mergeCells count="4">
    <mergeCell ref="A1:B1"/>
    <mergeCell ref="A8:B8"/>
    <mergeCell ref="D1:E1"/>
    <mergeCell ref="A16:B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B51E-A56D-4C05-BA25-0D72625D1EA8}">
  <dimension ref="A1"/>
  <sheetViews>
    <sheetView showFormulas="1" showGridLines="0" tabSelected="1" topLeftCell="A11" zoomScale="83" zoomScaleNormal="7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30FDE-075D-4634-919A-999B4EF3DF4F}">
  <dimension ref="A1:A46"/>
  <sheetViews>
    <sheetView showGridLines="0" workbookViewId="0">
      <selection activeCell="K15" sqref="K15"/>
    </sheetView>
  </sheetViews>
  <sheetFormatPr defaultRowHeight="15" x14ac:dyDescent="0.25"/>
  <sheetData>
    <row r="1" spans="1:1" ht="23.25" x14ac:dyDescent="0.35">
      <c r="A1" s="10" t="s">
        <v>563</v>
      </c>
    </row>
    <row r="3" spans="1:1" ht="18" x14ac:dyDescent="0.25">
      <c r="A3" s="11" t="s">
        <v>564</v>
      </c>
    </row>
    <row r="4" spans="1:1" x14ac:dyDescent="0.25">
      <c r="A4" s="12"/>
    </row>
    <row r="5" spans="1:1" x14ac:dyDescent="0.25">
      <c r="A5" s="12" t="s">
        <v>565</v>
      </c>
    </row>
    <row r="6" spans="1:1" x14ac:dyDescent="0.25">
      <c r="A6" s="12"/>
    </row>
    <row r="7" spans="1:1" x14ac:dyDescent="0.25">
      <c r="A7" s="12" t="s">
        <v>566</v>
      </c>
    </row>
    <row r="8" spans="1:1" x14ac:dyDescent="0.25">
      <c r="A8" s="12"/>
    </row>
    <row r="9" spans="1:1" x14ac:dyDescent="0.25">
      <c r="A9" s="12" t="s">
        <v>567</v>
      </c>
    </row>
    <row r="12" spans="1:1" ht="18" x14ac:dyDescent="0.25">
      <c r="A12" s="11" t="s">
        <v>568</v>
      </c>
    </row>
    <row r="13" spans="1:1" x14ac:dyDescent="0.25">
      <c r="A13" s="12"/>
    </row>
    <row r="14" spans="1:1" x14ac:dyDescent="0.25">
      <c r="A14" s="12" t="s">
        <v>569</v>
      </c>
    </row>
    <row r="15" spans="1:1" x14ac:dyDescent="0.25">
      <c r="A15" s="12"/>
    </row>
    <row r="16" spans="1:1" x14ac:dyDescent="0.25">
      <c r="A16" s="12" t="s">
        <v>570</v>
      </c>
    </row>
    <row r="17" spans="1:1" x14ac:dyDescent="0.25">
      <c r="A17" s="12"/>
    </row>
    <row r="18" spans="1:1" x14ac:dyDescent="0.25">
      <c r="A18" s="12" t="s">
        <v>571</v>
      </c>
    </row>
    <row r="21" spans="1:1" ht="18" x14ac:dyDescent="0.25">
      <c r="A21" s="11" t="s">
        <v>572</v>
      </c>
    </row>
    <row r="22" spans="1:1" x14ac:dyDescent="0.25">
      <c r="A22" s="12"/>
    </row>
    <row r="23" spans="1:1" x14ac:dyDescent="0.25">
      <c r="A23" s="12" t="s">
        <v>573</v>
      </c>
    </row>
    <row r="24" spans="1:1" x14ac:dyDescent="0.25">
      <c r="A24" s="12"/>
    </row>
    <row r="25" spans="1:1" x14ac:dyDescent="0.25">
      <c r="A25" s="12" t="s">
        <v>574</v>
      </c>
    </row>
    <row r="26" spans="1:1" x14ac:dyDescent="0.25">
      <c r="A26" s="12"/>
    </row>
    <row r="27" spans="1:1" x14ac:dyDescent="0.25">
      <c r="A27" s="12" t="s">
        <v>575</v>
      </c>
    </row>
    <row r="30" spans="1:1" ht="18" x14ac:dyDescent="0.25">
      <c r="A30" s="11" t="s">
        <v>576</v>
      </c>
    </row>
    <row r="31" spans="1:1" x14ac:dyDescent="0.25">
      <c r="A31" s="12"/>
    </row>
    <row r="32" spans="1:1" x14ac:dyDescent="0.25">
      <c r="A32" s="12" t="s">
        <v>577</v>
      </c>
    </row>
    <row r="33" spans="1:1" x14ac:dyDescent="0.25">
      <c r="A33" s="12"/>
    </row>
    <row r="34" spans="1:1" x14ac:dyDescent="0.25">
      <c r="A34" s="12" t="s">
        <v>578</v>
      </c>
    </row>
    <row r="35" spans="1:1" x14ac:dyDescent="0.25">
      <c r="A35" s="12"/>
    </row>
    <row r="36" spans="1:1" x14ac:dyDescent="0.25">
      <c r="A36" s="12" t="s">
        <v>579</v>
      </c>
    </row>
    <row r="37" spans="1:1" x14ac:dyDescent="0.25">
      <c r="A37" s="12"/>
    </row>
    <row r="38" spans="1:1" x14ac:dyDescent="0.25">
      <c r="A38" s="12" t="s">
        <v>580</v>
      </c>
    </row>
    <row r="39" spans="1:1" x14ac:dyDescent="0.25">
      <c r="A39" s="12"/>
    </row>
    <row r="40" spans="1:1" x14ac:dyDescent="0.25">
      <c r="A40" s="12"/>
    </row>
    <row r="41" spans="1:1" x14ac:dyDescent="0.25">
      <c r="A41" s="12"/>
    </row>
    <row r="42" spans="1:1" x14ac:dyDescent="0.25">
      <c r="A42" s="12"/>
    </row>
    <row r="43" spans="1:1" x14ac:dyDescent="0.25">
      <c r="A43" s="12"/>
    </row>
    <row r="44" spans="1:1" x14ac:dyDescent="0.25">
      <c r="A44" s="12"/>
    </row>
    <row r="45" spans="1:1" x14ac:dyDescent="0.25">
      <c r="A45" s="12"/>
    </row>
    <row r="46" spans="1:1" x14ac:dyDescent="0.25">
      <c r="A46"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SalesData</vt:lpstr>
      <vt:lpstr>KPI_Summary</vt:lpstr>
      <vt:lpstr>Pivot_Analysis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Akshay Kandalkar</cp:lastModifiedBy>
  <dcterms:created xsi:type="dcterms:W3CDTF">2025-12-22T08:47:28Z</dcterms:created>
  <dcterms:modified xsi:type="dcterms:W3CDTF">2025-12-25T09:29:42Z</dcterms:modified>
</cp:coreProperties>
</file>